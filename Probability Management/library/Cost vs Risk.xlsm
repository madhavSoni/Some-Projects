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/>
  <bookViews>
    <workbookView xWindow="360" yWindow="240" windowWidth="13980" windowHeight="7620"/>
  </bookViews>
  <sheets>
    <sheet name="Overview" sheetId="83" r:id="rId1"/>
    <sheet name="Background" sheetId="80" r:id="rId2"/>
    <sheet name="High Level Model" sheetId="79" r:id="rId3"/>
    <sheet name="Detail Instructions" sheetId="82" r:id="rId4"/>
    <sheet name="Detailed Model" sheetId="73" r:id="rId5"/>
    <sheet name="Calculations" sheetId="78" state="veryHidden" r:id="rId6"/>
    <sheet name="Threat Libraries" sheetId="84" r:id="rId7"/>
    <sheet name="PMTable" sheetId="85" r:id="rId8"/>
  </sheets>
  <externalReferences>
    <externalReference r:id="rId9"/>
  </externalReferences>
  <definedNames>
    <definedName name="Assignments">'Detailed Model'!$F$10:$F$36</definedName>
    <definedName name="Average_Shortfall">'[1] 8.14 d (ii)'!$I$11</definedName>
    <definedName name="Cost__000_s">'[1]8.14 d (i)'!$E$11</definedName>
    <definedName name="Costs">'Detailed Model'!$D$10:$D$36</definedName>
    <definedName name="library_file_name">"Cost vs Risk 1-27-13 SIP Incomplete.xlsm"</definedName>
    <definedName name="LocA">'Detailed Model'!$G$10:$G$36</definedName>
    <definedName name="local_library">TRUE</definedName>
    <definedName name="LocB">'Detailed Model'!$H$10:$H$36</definedName>
    <definedName name="LocC">'Detailed Model'!$I$10:$I$36</definedName>
    <definedName name="LocD">'Detailed Model'!$J$10:$J$36</definedName>
    <definedName name="LocE">'Detailed Model'!$K$10:$K$36</definedName>
    <definedName name="LocF">'Detailed Model'!$L$10:$L$36</definedName>
    <definedName name="PM_Index">PMTable!$A$1</definedName>
    <definedName name="PM_IV">'Threat Libraries'!$R$1</definedName>
    <definedName name="PM_IV_INDEX">'Threat Libraries'!$S$1</definedName>
    <definedName name="PM_Trials">'Threat Libraries'!$A$1</definedName>
    <definedName name="Req_Orange_A">'Threat Libraries'!$I$6:$I$11</definedName>
    <definedName name="Req_Orange_B">'Threat Libraries'!$J$6:$J$11</definedName>
    <definedName name="Req_Orange_C">'Threat Libraries'!$K$6:$K$11</definedName>
    <definedName name="Req_Orange_D">'Threat Libraries'!$L$6:$L$11</definedName>
    <definedName name="Req_Orange_E">'Threat Libraries'!$M$6:$M$11</definedName>
    <definedName name="Req_Orange_F">'Threat Libraries'!$N$6:$N$11</definedName>
    <definedName name="Req_Red_A">'Threat Libraries'!$C$6:$C$11</definedName>
    <definedName name="Req_Red_B">'Threat Libraries'!$D$6:$D$11</definedName>
    <definedName name="Req_Red_C">'Threat Libraries'!$E$6:$E$11</definedName>
    <definedName name="Req_Red_D">'Threat Libraries'!$F$6:$F$11</definedName>
    <definedName name="Req_Red_E">'Threat Libraries'!$G$6:$G$11</definedName>
    <definedName name="Req_Red_F">'Threat Libraries'!$H$6:$H$11</definedName>
    <definedName name="Shortfall01">PMTable!$C$4:$C$8</definedName>
    <definedName name="Shortfall02">PMTable!$D$4:$D$8</definedName>
    <definedName name="Shortfall03">PMTable!$E$4:$E$8</definedName>
    <definedName name="Shortfall04">PMTable!$F$4:$F$8</definedName>
    <definedName name="Shortfall05">PMTable!$G$4:$G$8</definedName>
    <definedName name="Shortfall06">PMTable!$H$4:$H$8</definedName>
    <definedName name="Shortfall07">PMTable!$I$4:$I$8</definedName>
    <definedName name="Shortfall08">PMTable!$J$4:$J$8</definedName>
    <definedName name="Shortfall09">PMTable!$K$4:$K$8</definedName>
    <definedName name="Shortfall10">PMTable!$L$4:$L$8</definedName>
    <definedName name="Shortfall11">PMTable!$M$4:$M$8</definedName>
    <definedName name="Shortfall12">PMTable!$N$4:$N$8</definedName>
    <definedName name="Shortfall13">PMTable!$O$4:$O$8</definedName>
    <definedName name="Shortfall14">PMTable!$P$4:$P$8</definedName>
    <definedName name="Shortfall15">PMTable!$Q$4:$Q$8</definedName>
    <definedName name="Shortfall16">PMTable!$R$4:$R$8</definedName>
    <definedName name="Shortfall17">PMTable!$S$4:$S$8</definedName>
    <definedName name="Shortfall18">PMTable!$T$4:$T$8</definedName>
    <definedName name="Shortfall19">PMTable!$U$4:$U$8</definedName>
    <definedName name="solver_adj" localSheetId="4" hidden="1">'Detailed Model'!$F$10:$F$36,'Detailed Model'!$N$13:$S$17</definedName>
    <definedName name="solver_cvg" localSheetId="4" hidden="1">0.0001</definedName>
    <definedName name="solver_drv" localSheetId="4" hidden="1">1</definedName>
    <definedName name="solver_eng" localSheetId="4" hidden="1">2</definedName>
    <definedName name="solver_est" localSheetId="4" hidden="1">1</definedName>
    <definedName name="solver_ibd" localSheetId="4" hidden="1">2</definedName>
    <definedName name="solver_itr" localSheetId="4" hidden="1">100</definedName>
    <definedName name="solver_lhs1" localSheetId="4" hidden="1">'Detailed Model'!$T$7</definedName>
    <definedName name="solver_lhs10" localSheetId="4" hidden="1">'Detailed Model'!$F$10:$F$36</definedName>
    <definedName name="solver_lhs11" localSheetId="4" hidden="1">'Detailed Model'!$V$7</definedName>
    <definedName name="solver_lhs12" localSheetId="4" hidden="1">'Detailed Model'!$V$7</definedName>
    <definedName name="solver_lhs13" localSheetId="4" hidden="1">'Detailed Model'!$N$13:$S$17</definedName>
    <definedName name="solver_lhs14" localSheetId="4" hidden="1">'Detailed Model'!$N$13:$S$17</definedName>
    <definedName name="solver_lhs15" localSheetId="4" hidden="1">'Detailed Model'!$N$13:$S$17</definedName>
    <definedName name="solver_lhs16" localSheetId="4" hidden="1">'Detailed Model'!$R$15:$R$17</definedName>
    <definedName name="solver_lhs17" localSheetId="4" hidden="1">'Detailed Model'!$F$10:$F$36</definedName>
    <definedName name="solver_lhs18" localSheetId="4" hidden="1">'Detailed Model'!$F$10:$F$36</definedName>
    <definedName name="solver_lhs2" localSheetId="4" hidden="1">'Detailed Model'!$E$11</definedName>
    <definedName name="solver_lhs3" localSheetId="4" hidden="1">'Detailed Model'!$E$17</definedName>
    <definedName name="solver_lhs4" localSheetId="4" hidden="1">'Detailed Model'!$E$28</definedName>
    <definedName name="solver_lhs5" localSheetId="4" hidden="1">'Detailed Model'!$K$5:$P$5</definedName>
    <definedName name="solver_lhs6" localSheetId="4" hidden="1">'Detailed Model'!$N$13:$S$17</definedName>
    <definedName name="solver_lhs7" localSheetId="4" hidden="1">'Detailed Model'!$N$13:$S$17</definedName>
    <definedName name="solver_lhs8" localSheetId="4" hidden="1">'Detailed Model'!$N$13:$S$17</definedName>
    <definedName name="solver_lhs9" localSheetId="4" hidden="1">'Detailed Model'!$F$10:$F$36</definedName>
    <definedName name="solver_lin" localSheetId="4" hidden="1">1</definedName>
    <definedName name="solver_loc" localSheetId="4" hidden="1">1</definedName>
    <definedName name="solver_lva" localSheetId="4" hidden="1">2</definedName>
    <definedName name="solver_mip" localSheetId="4" hidden="1">5000</definedName>
    <definedName name="solver_mni" localSheetId="4" hidden="1">30</definedName>
    <definedName name="solver_mrt" localSheetId="4" hidden="1">0.075</definedName>
    <definedName name="solver_neg" localSheetId="4" hidden="1">1</definedName>
    <definedName name="solver_nod" localSheetId="4" hidden="1">5000</definedName>
    <definedName name="solver_num" localSheetId="4" hidden="1">10</definedName>
    <definedName name="solver_nwt" localSheetId="4" hidden="1">1</definedName>
    <definedName name="solver_ofx" localSheetId="4" hidden="1">2</definedName>
    <definedName name="solver_opt" localSheetId="4" hidden="1">'Detailed Model'!$V$7</definedName>
    <definedName name="solver_piv" localSheetId="4" hidden="1">0.000001</definedName>
    <definedName name="solver_pre" localSheetId="4" hidden="1">0.000001</definedName>
    <definedName name="solver_pro" localSheetId="4" hidden="1">2</definedName>
    <definedName name="solver_rbv" localSheetId="4" hidden="1">1</definedName>
    <definedName name="solver_red" localSheetId="4" hidden="1">0.000001</definedName>
    <definedName name="solver_rel1" localSheetId="4" hidden="1">1</definedName>
    <definedName name="solver_rel10" localSheetId="4" hidden="1">3</definedName>
    <definedName name="solver_rel11" localSheetId="4" hidden="1">1</definedName>
    <definedName name="solver_rel12" localSheetId="4" hidden="1">1</definedName>
    <definedName name="solver_rel13" localSheetId="4" hidden="1">4</definedName>
    <definedName name="solver_rel14" localSheetId="4" hidden="1">3</definedName>
    <definedName name="solver_rel15" localSheetId="4" hidden="1">3</definedName>
    <definedName name="solver_rel16" localSheetId="4" hidden="1">4</definedName>
    <definedName name="solver_rel17" localSheetId="4" hidden="1">4</definedName>
    <definedName name="solver_rel18" localSheetId="4" hidden="1">3</definedName>
    <definedName name="solver_rel2" localSheetId="4" hidden="1">3</definedName>
    <definedName name="solver_rel3" localSheetId="4" hidden="1">3</definedName>
    <definedName name="solver_rel4" localSheetId="4" hidden="1">3</definedName>
    <definedName name="solver_rel5" localSheetId="4" hidden="1">1</definedName>
    <definedName name="solver_rel6" localSheetId="4" hidden="1">4</definedName>
    <definedName name="solver_rel7" localSheetId="4" hidden="1">3</definedName>
    <definedName name="solver_rel8" localSheetId="4" hidden="1">3</definedName>
    <definedName name="solver_rel9" localSheetId="4" hidden="1">4</definedName>
    <definedName name="solver_reo" localSheetId="4" hidden="1">2</definedName>
    <definedName name="solver_rep" localSheetId="4" hidden="1">2</definedName>
    <definedName name="solver_rhs1" localSheetId="4" hidden="1">'Detailed Model'!#REF!</definedName>
    <definedName name="solver_rhs10" localSheetId="4" hidden="1">0</definedName>
    <definedName name="solver_rhs11" localSheetId="4" hidden="1">'Detailed Model'!#REF!</definedName>
    <definedName name="solver_rhs12" localSheetId="4" hidden="1">'Detailed Model'!#REF!</definedName>
    <definedName name="solver_rhs13" localSheetId="4" hidden="1">integer</definedName>
    <definedName name="solver_rhs14" localSheetId="4" hidden="1">'Detailed Model'!$N$24:$S$28</definedName>
    <definedName name="solver_rhs15" localSheetId="4" hidden="1">0</definedName>
    <definedName name="solver_rhs16" localSheetId="4" hidden="1">integer</definedName>
    <definedName name="solver_rhs17" localSheetId="4" hidden="1">integer</definedName>
    <definedName name="solver_rhs18" localSheetId="4" hidden="1">0</definedName>
    <definedName name="solver_rhs2" localSheetId="4" hidden="1">'Detailed Model'!$E$13</definedName>
    <definedName name="solver_rhs3" localSheetId="4" hidden="1">'Detailed Model'!$E$19</definedName>
    <definedName name="solver_rhs4" localSheetId="4" hidden="1">'Detailed Model'!$E$30</definedName>
    <definedName name="solver_rhs5" localSheetId="4" hidden="1">'Detailed Model'!$K$6:$P$6</definedName>
    <definedName name="solver_rhs6" localSheetId="4" hidden="1">integer</definedName>
    <definedName name="solver_rhs7" localSheetId="4" hidden="1">'Detailed Model'!$N$24:$S$28</definedName>
    <definedName name="solver_rhs8" localSheetId="4" hidden="1">0</definedName>
    <definedName name="solver_rhs9" localSheetId="4" hidden="1">integer</definedName>
    <definedName name="solver_rlx" localSheetId="4" hidden="1">2</definedName>
    <definedName name="solver_scl" localSheetId="4" hidden="1">2</definedName>
    <definedName name="solver_sho" localSheetId="4" hidden="1">2</definedName>
    <definedName name="solver_ssz" localSheetId="4" hidden="1">100</definedName>
    <definedName name="solver_std" localSheetId="4" hidden="1">1</definedName>
    <definedName name="solver_tim" localSheetId="4" hidden="1">100</definedName>
    <definedName name="solver_tol" localSheetId="4" hidden="1">0.0005</definedName>
    <definedName name="solver_typ" localSheetId="4" hidden="1">2</definedName>
    <definedName name="solver_typ" localSheetId="2" hidden="1">2</definedName>
    <definedName name="solver_val" localSheetId="4" hidden="1">0</definedName>
    <definedName name="solver_ver" localSheetId="4" hidden="1">2</definedName>
    <definedName name="solver_ver" localSheetId="2" hidden="1">11</definedName>
    <definedName name="Threat">'High Level Model'!$AA$54</definedName>
    <definedName name="Total_Shortfall">PMTable!$V$4:$V$8</definedName>
    <definedName name="WBINTAssignments" localSheetId="4">'Detailed Model'!$F$10:$F$36</definedName>
  </definedNames>
  <calcPr calcId="145621"/>
</workbook>
</file>

<file path=xl/calcChain.xml><?xml version="1.0" encoding="utf-8"?>
<calcChain xmlns="http://schemas.openxmlformats.org/spreadsheetml/2006/main">
  <c r="A1" i="85" l="1"/>
  <c r="AP14" i="73" l="1" a="1"/>
  <c r="AP16" i="73" s="1"/>
  <c r="S21" i="79"/>
  <c r="V7" i="73"/>
  <c r="V30" i="78"/>
  <c r="U30" i="78"/>
  <c r="T30" i="78"/>
  <c r="S30" i="78"/>
  <c r="R30" i="78"/>
  <c r="Q30" i="78"/>
  <c r="P30" i="78"/>
  <c r="O30" i="78"/>
  <c r="N30" i="78"/>
  <c r="M30" i="78"/>
  <c r="L30" i="78"/>
  <c r="K30" i="78"/>
  <c r="J30" i="78"/>
  <c r="I30" i="78"/>
  <c r="H30" i="78"/>
  <c r="G30" i="78"/>
  <c r="F30" i="78"/>
  <c r="E30" i="78"/>
  <c r="D30" i="78"/>
  <c r="D36" i="78"/>
  <c r="D35" i="78"/>
  <c r="D34" i="78"/>
  <c r="D33" i="78"/>
  <c r="D32" i="78"/>
  <c r="D31" i="78"/>
  <c r="E36" i="78"/>
  <c r="E35" i="78"/>
  <c r="E34" i="78"/>
  <c r="E33" i="78"/>
  <c r="E32" i="78"/>
  <c r="E31" i="78"/>
  <c r="F36" i="78"/>
  <c r="F35" i="78"/>
  <c r="F34" i="78"/>
  <c r="F33" i="78"/>
  <c r="F32" i="78"/>
  <c r="F31" i="78"/>
  <c r="L5" i="73"/>
  <c r="A32" i="78" s="1"/>
  <c r="C32" i="78" s="1"/>
  <c r="M5" i="73"/>
  <c r="A33" i="78" s="1"/>
  <c r="C33" i="78" s="1"/>
  <c r="N5" i="73"/>
  <c r="A34" i="78" s="1"/>
  <c r="C34" i="78" s="1"/>
  <c r="O5" i="73"/>
  <c r="A35" i="78" s="1"/>
  <c r="C35" i="78" s="1"/>
  <c r="P5" i="73"/>
  <c r="A36" i="78" s="1"/>
  <c r="C36" i="78" s="1"/>
  <c r="K5" i="73"/>
  <c r="A31" i="78" s="1"/>
  <c r="C31" i="78" s="1"/>
  <c r="S22" i="79"/>
  <c r="T22" i="79"/>
  <c r="U22" i="79"/>
  <c r="V22" i="79"/>
  <c r="W22" i="79"/>
  <c r="X22" i="79"/>
  <c r="S23" i="79"/>
  <c r="T23" i="79"/>
  <c r="U23" i="79"/>
  <c r="V23" i="79"/>
  <c r="W23" i="79"/>
  <c r="X23" i="79"/>
  <c r="S24" i="79"/>
  <c r="T24" i="79"/>
  <c r="U24" i="79"/>
  <c r="V24" i="79"/>
  <c r="W24" i="79"/>
  <c r="X24" i="79"/>
  <c r="S25" i="79"/>
  <c r="T25" i="79"/>
  <c r="U25" i="79"/>
  <c r="V25" i="79"/>
  <c r="W25" i="79"/>
  <c r="X25" i="79"/>
  <c r="T21" i="79"/>
  <c r="U21" i="79"/>
  <c r="V21" i="79"/>
  <c r="W21" i="79"/>
  <c r="X21" i="79"/>
  <c r="AP23" i="73" l="1"/>
  <c r="AP19" i="73"/>
  <c r="AP15" i="73"/>
  <c r="AP22" i="73"/>
  <c r="AP18" i="73"/>
  <c r="AP14" i="73"/>
  <c r="AP21" i="73"/>
  <c r="AP17" i="73"/>
  <c r="AP20" i="73"/>
  <c r="AN5" i="73" l="1"/>
  <c r="S80" i="73"/>
  <c r="T80" i="73"/>
  <c r="U80" i="73"/>
  <c r="V80" i="73"/>
  <c r="W80" i="73"/>
  <c r="R80" i="73"/>
  <c r="G31" i="78" l="1"/>
  <c r="H31" i="78"/>
  <c r="I31" i="78"/>
  <c r="J31" i="78"/>
  <c r="K31" i="78"/>
  <c r="L31" i="78"/>
  <c r="M31" i="78"/>
  <c r="N31" i="78"/>
  <c r="O31" i="78"/>
  <c r="P31" i="78"/>
  <c r="Q31" i="78"/>
  <c r="R31" i="78"/>
  <c r="S31" i="78"/>
  <c r="T31" i="78"/>
  <c r="U31" i="78"/>
  <c r="V31" i="78"/>
  <c r="G32" i="78"/>
  <c r="H32" i="78"/>
  <c r="I32" i="78"/>
  <c r="J32" i="78"/>
  <c r="K32" i="78"/>
  <c r="L32" i="78"/>
  <c r="M32" i="78"/>
  <c r="N32" i="78"/>
  <c r="O32" i="78"/>
  <c r="P32" i="78"/>
  <c r="Q32" i="78"/>
  <c r="R32" i="78"/>
  <c r="S32" i="78"/>
  <c r="T32" i="78"/>
  <c r="U32" i="78"/>
  <c r="V32" i="78"/>
  <c r="G33" i="78"/>
  <c r="H33" i="78"/>
  <c r="I33" i="78"/>
  <c r="J33" i="78"/>
  <c r="K33" i="78"/>
  <c r="L33" i="78"/>
  <c r="M33" i="78"/>
  <c r="N33" i="78"/>
  <c r="O33" i="78"/>
  <c r="P33" i="78"/>
  <c r="Q33" i="78"/>
  <c r="R33" i="78"/>
  <c r="S33" i="78"/>
  <c r="T33" i="78"/>
  <c r="U33" i="78"/>
  <c r="V33" i="78"/>
  <c r="G34" i="78"/>
  <c r="H34" i="78"/>
  <c r="I34" i="78"/>
  <c r="J34" i="78"/>
  <c r="K34" i="78"/>
  <c r="L34" i="78"/>
  <c r="M34" i="78"/>
  <c r="N34" i="78"/>
  <c r="O34" i="78"/>
  <c r="P34" i="78"/>
  <c r="Q34" i="78"/>
  <c r="R34" i="78"/>
  <c r="S34" i="78"/>
  <c r="T34" i="78"/>
  <c r="U34" i="78"/>
  <c r="V34" i="78"/>
  <c r="G35" i="78"/>
  <c r="H35" i="78"/>
  <c r="I35" i="78"/>
  <c r="J35" i="78"/>
  <c r="K35" i="78"/>
  <c r="L35" i="78"/>
  <c r="M35" i="78"/>
  <c r="N35" i="78"/>
  <c r="O35" i="78"/>
  <c r="P35" i="78"/>
  <c r="Q35" i="78"/>
  <c r="R35" i="78"/>
  <c r="S35" i="78"/>
  <c r="T35" i="78"/>
  <c r="U35" i="78"/>
  <c r="V35" i="78"/>
  <c r="G36" i="78"/>
  <c r="H36" i="78"/>
  <c r="I36" i="78"/>
  <c r="J36" i="78"/>
  <c r="K36" i="78"/>
  <c r="L36" i="78"/>
  <c r="M36" i="78"/>
  <c r="N36" i="78"/>
  <c r="O36" i="78"/>
  <c r="P36" i="78"/>
  <c r="Q36" i="78"/>
  <c r="R36" i="78"/>
  <c r="S36" i="78"/>
  <c r="T36" i="78"/>
  <c r="U36" i="78"/>
  <c r="V36" i="78"/>
  <c r="A52" i="78"/>
  <c r="B52" i="78"/>
  <c r="C52" i="78"/>
  <c r="D52" i="78"/>
  <c r="E52" i="78"/>
  <c r="F52" i="78"/>
  <c r="A53" i="78"/>
  <c r="B53" i="78"/>
  <c r="C53" i="78"/>
  <c r="D53" i="78"/>
  <c r="E53" i="78"/>
  <c r="F53" i="78"/>
  <c r="A54" i="78"/>
  <c r="B54" i="78"/>
  <c r="C54" i="78"/>
  <c r="D54" i="78"/>
  <c r="E54" i="78"/>
  <c r="F54" i="78"/>
  <c r="A55" i="78"/>
  <c r="B55" i="78"/>
  <c r="C55" i="78"/>
  <c r="D55" i="78"/>
  <c r="E55" i="78"/>
  <c r="F55" i="78"/>
  <c r="A56" i="78"/>
  <c r="B56" i="78"/>
  <c r="C56" i="78"/>
  <c r="D56" i="78"/>
  <c r="E56" i="78"/>
  <c r="F56" i="78"/>
  <c r="A57" i="78"/>
  <c r="B57" i="78"/>
  <c r="C57" i="78"/>
  <c r="D57" i="78"/>
  <c r="E57" i="78"/>
  <c r="F57" i="78"/>
  <c r="A58" i="78"/>
  <c r="B58" i="78"/>
  <c r="C58" i="78"/>
  <c r="D58" i="78"/>
  <c r="E58" i="78"/>
  <c r="F58" i="78"/>
  <c r="A59" i="78"/>
  <c r="B59" i="78"/>
  <c r="C59" i="78"/>
  <c r="D59" i="78"/>
  <c r="E59" i="78"/>
  <c r="F59" i="78"/>
  <c r="A60" i="78"/>
  <c r="B60" i="78"/>
  <c r="C60" i="78"/>
  <c r="D60" i="78"/>
  <c r="E60" i="78"/>
  <c r="F60" i="78"/>
  <c r="A61" i="78"/>
  <c r="B61" i="78"/>
  <c r="C61" i="78"/>
  <c r="D61" i="78"/>
  <c r="E61" i="78"/>
  <c r="F61" i="78"/>
  <c r="A62" i="78"/>
  <c r="B62" i="78"/>
  <c r="C62" i="78"/>
  <c r="D62" i="78"/>
  <c r="E62" i="78"/>
  <c r="F62" i="78"/>
  <c r="A63" i="78"/>
  <c r="B63" i="78"/>
  <c r="C63" i="78"/>
  <c r="D63" i="78"/>
  <c r="E63" i="78"/>
  <c r="F63" i="78"/>
  <c r="A64" i="78"/>
  <c r="B64" i="78"/>
  <c r="C64" i="78"/>
  <c r="D64" i="78"/>
  <c r="E64" i="78"/>
  <c r="F64" i="78"/>
  <c r="A65" i="78"/>
  <c r="B65" i="78"/>
  <c r="C65" i="78"/>
  <c r="D65" i="78"/>
  <c r="E65" i="78"/>
  <c r="F65" i="78"/>
  <c r="A66" i="78"/>
  <c r="B66" i="78"/>
  <c r="C66" i="78"/>
  <c r="D66" i="78"/>
  <c r="E66" i="78"/>
  <c r="F66" i="78"/>
  <c r="A67" i="78"/>
  <c r="B67" i="78"/>
  <c r="C67" i="78"/>
  <c r="D67" i="78"/>
  <c r="E67" i="78"/>
  <c r="F67" i="78"/>
  <c r="A68" i="78"/>
  <c r="B68" i="78"/>
  <c r="C68" i="78"/>
  <c r="D68" i="78"/>
  <c r="E68" i="78"/>
  <c r="F68" i="78"/>
  <c r="A69" i="78"/>
  <c r="B69" i="78"/>
  <c r="C69" i="78"/>
  <c r="D69" i="78"/>
  <c r="E69" i="78"/>
  <c r="F69" i="78"/>
  <c r="A70" i="78"/>
  <c r="B70" i="78"/>
  <c r="C70" i="78"/>
  <c r="D70" i="78"/>
  <c r="E70" i="78"/>
  <c r="F70" i="78"/>
  <c r="A71" i="78"/>
  <c r="B71" i="78"/>
  <c r="C71" i="78"/>
  <c r="D71" i="78"/>
  <c r="E71" i="78"/>
  <c r="F71" i="78"/>
  <c r="A72" i="78"/>
  <c r="B72" i="78"/>
  <c r="C72" i="78"/>
  <c r="D72" i="78"/>
  <c r="E72" i="78"/>
  <c r="F72" i="78"/>
  <c r="A73" i="78"/>
  <c r="B73" i="78"/>
  <c r="C73" i="78"/>
  <c r="D73" i="78"/>
  <c r="E73" i="78"/>
  <c r="F73" i="78"/>
  <c r="A74" i="78"/>
  <c r="B74" i="78"/>
  <c r="C74" i="78"/>
  <c r="D74" i="78"/>
  <c r="E74" i="78"/>
  <c r="F74" i="78"/>
  <c r="A75" i="78"/>
  <c r="B75" i="78"/>
  <c r="C75" i="78"/>
  <c r="D75" i="78"/>
  <c r="E75" i="78"/>
  <c r="F75" i="78"/>
  <c r="A76" i="78"/>
  <c r="B76" i="78"/>
  <c r="C76" i="78"/>
  <c r="D76" i="78"/>
  <c r="E76" i="78"/>
  <c r="F76" i="78"/>
  <c r="A77" i="78"/>
  <c r="B77" i="78"/>
  <c r="C77" i="78"/>
  <c r="D77" i="78"/>
  <c r="E77" i="78"/>
  <c r="F77" i="78"/>
  <c r="A78" i="78"/>
  <c r="B78" i="78"/>
  <c r="C78" i="78"/>
  <c r="D78" i="78"/>
  <c r="E78" i="78"/>
  <c r="F78" i="78"/>
  <c r="B51" i="78"/>
  <c r="C51" i="78"/>
  <c r="D51" i="78"/>
  <c r="E51" i="78"/>
  <c r="F51" i="78"/>
  <c r="A51" i="78"/>
  <c r="B25" i="78"/>
  <c r="O29" i="78"/>
  <c r="P29" i="78"/>
  <c r="Q29" i="78"/>
  <c r="R29" i="78"/>
  <c r="S29" i="78"/>
  <c r="T29" i="78"/>
  <c r="U29" i="78"/>
  <c r="V29" i="78"/>
  <c r="E29" i="78"/>
  <c r="F29" i="78"/>
  <c r="G29" i="78"/>
  <c r="H29" i="78"/>
  <c r="I29" i="78"/>
  <c r="J29" i="78"/>
  <c r="K29" i="78"/>
  <c r="L29" i="78"/>
  <c r="M29" i="78"/>
  <c r="N29" i="78"/>
  <c r="D29" i="78"/>
  <c r="D42" i="78" l="1"/>
  <c r="D48" i="78" s="1"/>
  <c r="E37" i="78"/>
  <c r="E43" i="78" s="1"/>
  <c r="E38" i="78"/>
  <c r="E44" i="78" s="1"/>
  <c r="F40" i="78"/>
  <c r="F46" i="78" s="1"/>
  <c r="E39" i="78"/>
  <c r="E45" i="78" s="1"/>
  <c r="D39" i="78"/>
  <c r="D45" i="78" s="1"/>
  <c r="F39" i="78"/>
  <c r="F45" i="78" s="1"/>
  <c r="F38" i="78"/>
  <c r="F44" i="78" s="1"/>
  <c r="D38" i="78"/>
  <c r="D44" i="78" s="1"/>
  <c r="N37" i="78"/>
  <c r="N43" i="78" s="1"/>
  <c r="P37" i="78"/>
  <c r="P43" i="78" s="1"/>
  <c r="R37" i="78"/>
  <c r="R43" i="78" s="1"/>
  <c r="T37" i="78"/>
  <c r="T43" i="78" s="1"/>
  <c r="K37" i="78"/>
  <c r="K43" i="78" s="1"/>
  <c r="F37" i="78"/>
  <c r="F43" i="78" s="1"/>
  <c r="H37" i="78"/>
  <c r="H43" i="78" s="1"/>
  <c r="D37" i="78"/>
  <c r="D43" i="78" s="1"/>
  <c r="M37" i="78"/>
  <c r="M43" i="78" s="1"/>
  <c r="O37" i="78"/>
  <c r="O43" i="78" s="1"/>
  <c r="Q37" i="78"/>
  <c r="Q43" i="78" s="1"/>
  <c r="S37" i="78"/>
  <c r="S43" i="78" s="1"/>
  <c r="U37" i="78"/>
  <c r="U43" i="78" s="1"/>
  <c r="V37" i="78"/>
  <c r="V43" i="78" s="1"/>
  <c r="J37" i="78"/>
  <c r="J43" i="78" s="1"/>
  <c r="L37" i="78"/>
  <c r="L43" i="78" s="1"/>
  <c r="G37" i="78"/>
  <c r="G43" i="78" s="1"/>
  <c r="I37" i="78"/>
  <c r="I43" i="78" s="1"/>
  <c r="N38" i="78"/>
  <c r="N44" i="78" s="1"/>
  <c r="P38" i="78"/>
  <c r="P44" i="78" s="1"/>
  <c r="R38" i="78"/>
  <c r="R44" i="78" s="1"/>
  <c r="T38" i="78"/>
  <c r="T44" i="78" s="1"/>
  <c r="J38" i="78"/>
  <c r="J44" i="78" s="1"/>
  <c r="L38" i="78"/>
  <c r="L44" i="78" s="1"/>
  <c r="G38" i="78"/>
  <c r="G44" i="78" s="1"/>
  <c r="I38" i="78"/>
  <c r="I44" i="78" s="1"/>
  <c r="M38" i="78"/>
  <c r="M44" i="78" s="1"/>
  <c r="O38" i="78"/>
  <c r="O44" i="78" s="1"/>
  <c r="Q38" i="78"/>
  <c r="Q44" i="78" s="1"/>
  <c r="S38" i="78"/>
  <c r="S44" i="78" s="1"/>
  <c r="U38" i="78"/>
  <c r="U44" i="78" s="1"/>
  <c r="V38" i="78"/>
  <c r="V44" i="78" s="1"/>
  <c r="K38" i="78"/>
  <c r="K44" i="78" s="1"/>
  <c r="H38" i="78"/>
  <c r="H44" i="78" s="1"/>
  <c r="N39" i="78"/>
  <c r="N45" i="78" s="1"/>
  <c r="P39" i="78"/>
  <c r="P45" i="78" s="1"/>
  <c r="R39" i="78"/>
  <c r="R45" i="78" s="1"/>
  <c r="T39" i="78"/>
  <c r="T45" i="78" s="1"/>
  <c r="K39" i="78"/>
  <c r="K45" i="78" s="1"/>
  <c r="H39" i="78"/>
  <c r="H45" i="78" s="1"/>
  <c r="M39" i="78"/>
  <c r="M45" i="78" s="1"/>
  <c r="O39" i="78"/>
  <c r="O45" i="78" s="1"/>
  <c r="Q39" i="78"/>
  <c r="Q45" i="78" s="1"/>
  <c r="S39" i="78"/>
  <c r="S45" i="78" s="1"/>
  <c r="U39" i="78"/>
  <c r="U45" i="78" s="1"/>
  <c r="V39" i="78"/>
  <c r="V45" i="78" s="1"/>
  <c r="J39" i="78"/>
  <c r="J45" i="78" s="1"/>
  <c r="L39" i="78"/>
  <c r="L45" i="78" s="1"/>
  <c r="G39" i="78"/>
  <c r="G45" i="78" s="1"/>
  <c r="I39" i="78"/>
  <c r="I45" i="78" s="1"/>
  <c r="N40" i="78"/>
  <c r="N46" i="78" s="1"/>
  <c r="P40" i="78"/>
  <c r="P46" i="78" s="1"/>
  <c r="R40" i="78"/>
  <c r="R46" i="78" s="1"/>
  <c r="T40" i="78"/>
  <c r="T46" i="78" s="1"/>
  <c r="J40" i="78"/>
  <c r="J46" i="78" s="1"/>
  <c r="L40" i="78"/>
  <c r="L46" i="78" s="1"/>
  <c r="E40" i="78"/>
  <c r="E46" i="78" s="1"/>
  <c r="G40" i="78"/>
  <c r="G46" i="78" s="1"/>
  <c r="I40" i="78"/>
  <c r="I46" i="78" s="1"/>
  <c r="M40" i="78"/>
  <c r="M46" i="78" s="1"/>
  <c r="O40" i="78"/>
  <c r="O46" i="78" s="1"/>
  <c r="Q40" i="78"/>
  <c r="Q46" i="78" s="1"/>
  <c r="S40" i="78"/>
  <c r="S46" i="78" s="1"/>
  <c r="U40" i="78"/>
  <c r="U46" i="78" s="1"/>
  <c r="V40" i="78"/>
  <c r="V46" i="78" s="1"/>
  <c r="K40" i="78"/>
  <c r="K46" i="78" s="1"/>
  <c r="H40" i="78"/>
  <c r="H46" i="78" s="1"/>
  <c r="D40" i="78"/>
  <c r="D46" i="78" s="1"/>
  <c r="N41" i="78"/>
  <c r="N47" i="78" s="1"/>
  <c r="P41" i="78"/>
  <c r="P47" i="78" s="1"/>
  <c r="S41" i="78"/>
  <c r="S47" i="78" s="1"/>
  <c r="V41" i="78"/>
  <c r="V47" i="78" s="1"/>
  <c r="K41" i="78"/>
  <c r="K47" i="78" s="1"/>
  <c r="F41" i="78"/>
  <c r="F47" i="78" s="1"/>
  <c r="H41" i="78"/>
  <c r="H47" i="78" s="1"/>
  <c r="D41" i="78"/>
  <c r="D47" i="78" s="1"/>
  <c r="M41" i="78"/>
  <c r="M47" i="78" s="1"/>
  <c r="O41" i="78"/>
  <c r="O47" i="78" s="1"/>
  <c r="Q41" i="78"/>
  <c r="Q47" i="78" s="1"/>
  <c r="U41" i="78"/>
  <c r="U47" i="78" s="1"/>
  <c r="J41" i="78"/>
  <c r="J47" i="78" s="1"/>
  <c r="L41" i="78"/>
  <c r="L47" i="78" s="1"/>
  <c r="E41" i="78"/>
  <c r="E47" i="78" s="1"/>
  <c r="G41" i="78"/>
  <c r="G47" i="78" s="1"/>
  <c r="I41" i="78"/>
  <c r="I47" i="78" s="1"/>
  <c r="N42" i="78"/>
  <c r="N48" i="78" s="1"/>
  <c r="Q42" i="78"/>
  <c r="Q48" i="78" s="1"/>
  <c r="U42" i="78"/>
  <c r="U48" i="78" s="1"/>
  <c r="J42" i="78"/>
  <c r="J48" i="78" s="1"/>
  <c r="L42" i="78"/>
  <c r="L48" i="78" s="1"/>
  <c r="E42" i="78"/>
  <c r="E48" i="78" s="1"/>
  <c r="G42" i="78"/>
  <c r="G48" i="78" s="1"/>
  <c r="I42" i="78"/>
  <c r="I48" i="78" s="1"/>
  <c r="M42" i="78"/>
  <c r="M48" i="78" s="1"/>
  <c r="O42" i="78"/>
  <c r="O48" i="78" s="1"/>
  <c r="S42" i="78"/>
  <c r="S48" i="78" s="1"/>
  <c r="V42" i="78"/>
  <c r="V48" i="78" s="1"/>
  <c r="K42" i="78"/>
  <c r="K48" i="78" s="1"/>
  <c r="F42" i="78"/>
  <c r="F48" i="78" s="1"/>
  <c r="H42" i="78"/>
  <c r="H48" i="78" s="1"/>
  <c r="T41" i="78"/>
  <c r="T47" i="78" s="1"/>
  <c r="R41" i="78"/>
  <c r="R47" i="78" s="1"/>
  <c r="T42" i="78"/>
  <c r="T48" i="78" s="1"/>
  <c r="R42" i="78"/>
  <c r="R48" i="78" s="1"/>
  <c r="P42" i="78"/>
  <c r="P48" i="78" s="1"/>
  <c r="E30" i="73"/>
  <c r="I49" i="78" l="1"/>
  <c r="H3" i="85" s="1"/>
  <c r="O49" i="78"/>
  <c r="N3" i="85" s="1"/>
  <c r="P49" i="78"/>
  <c r="O3" i="85" s="1"/>
  <c r="U49" i="78"/>
  <c r="T3" i="85" s="1"/>
  <c r="N49" i="78"/>
  <c r="M3" i="85" s="1"/>
  <c r="E49" i="78"/>
  <c r="D3" i="85" s="1"/>
  <c r="L49" i="78"/>
  <c r="K3" i="85" s="1"/>
  <c r="S49" i="78"/>
  <c r="R3" i="85" s="1"/>
  <c r="D49" i="78"/>
  <c r="C3" i="85" s="1"/>
  <c r="T49" i="78"/>
  <c r="S3" i="85" s="1"/>
  <c r="V49" i="78"/>
  <c r="U3" i="85" s="1"/>
  <c r="F49" i="78"/>
  <c r="E3" i="85" s="1"/>
  <c r="G49" i="78"/>
  <c r="F3" i="85" s="1"/>
  <c r="M49" i="78"/>
  <c r="L3" i="85" s="1"/>
  <c r="K49" i="78"/>
  <c r="J3" i="85" s="1"/>
  <c r="J49" i="78"/>
  <c r="I3" i="85" s="1"/>
  <c r="Q49" i="78"/>
  <c r="P3" i="85" s="1"/>
  <c r="H49" i="78"/>
  <c r="G3" i="85" s="1"/>
  <c r="R49" i="78"/>
  <c r="Q3" i="85" s="1"/>
  <c r="E19" i="73" l="1"/>
  <c r="AO15" i="73" l="1"/>
  <c r="R72" i="73" l="1"/>
  <c r="E13" i="73"/>
  <c r="T7" i="73"/>
  <c r="P6" i="73"/>
  <c r="O6" i="73"/>
  <c r="N6" i="73"/>
  <c r="M6" i="73"/>
  <c r="L6" i="73"/>
  <c r="K6" i="73"/>
  <c r="H5" i="73"/>
  <c r="E33" i="79" s="1"/>
  <c r="E24" i="79" s="1"/>
  <c r="E16" i="79" s="1"/>
  <c r="Q72" i="73" l="1"/>
  <c r="K7" i="73"/>
  <c r="M7" i="73"/>
  <c r="O7" i="73"/>
  <c r="L7" i="73"/>
  <c r="N7" i="73"/>
  <c r="P7" i="73"/>
  <c r="M9" i="79"/>
  <c r="K9" i="79" l="1"/>
  <c r="K8" i="73"/>
  <c r="P8" i="73"/>
  <c r="O8" i="73"/>
  <c r="N8" i="73"/>
  <c r="M8" i="73"/>
  <c r="L8" i="73"/>
  <c r="Q8" i="73" l="1"/>
  <c r="V3" i="85" s="1"/>
  <c r="AO16" i="73"/>
  <c r="AO17" i="73" l="1"/>
  <c r="AO18" i="73" l="1"/>
  <c r="AO19" i="73" l="1"/>
  <c r="AO20" i="73" l="1"/>
  <c r="AO21" i="73" l="1"/>
  <c r="AO22" i="73" l="1"/>
  <c r="AO23" i="73" l="1"/>
</calcChain>
</file>

<file path=xl/sharedStrings.xml><?xml version="1.0" encoding="utf-8"?>
<sst xmlns="http://schemas.openxmlformats.org/spreadsheetml/2006/main" count="170" uniqueCount="81">
  <si>
    <t>A</t>
  </si>
  <si>
    <t>B</t>
  </si>
  <si>
    <t>C</t>
  </si>
  <si>
    <t>D</t>
  </si>
  <si>
    <t>E</t>
  </si>
  <si>
    <t>F</t>
  </si>
  <si>
    <t>Shortfall</t>
  </si>
  <si>
    <t>Delivered</t>
  </si>
  <si>
    <t xml:space="preserve"> </t>
  </si>
  <si>
    <t>Assignment</t>
  </si>
  <si>
    <t>Available</t>
  </si>
  <si>
    <t>Used</t>
  </si>
  <si>
    <t>Bins</t>
  </si>
  <si>
    <t>Frequency</t>
  </si>
  <si>
    <t>Small Aircraft</t>
  </si>
  <si>
    <r>
      <t>Medium Aircraft</t>
    </r>
    <r>
      <rPr>
        <sz val="10"/>
        <rFont val="Arial"/>
        <family val="2"/>
      </rPr>
      <t xml:space="preserve"> </t>
    </r>
  </si>
  <si>
    <t>Large Aircraft</t>
  </si>
  <si>
    <t>Requirements by Location</t>
  </si>
  <si>
    <t>Delta</t>
  </si>
  <si>
    <t>Required</t>
  </si>
  <si>
    <t>Medium Aircraft</t>
  </si>
  <si>
    <t>Region</t>
  </si>
  <si>
    <t>Scenario 1</t>
  </si>
  <si>
    <t>Scenario 2</t>
  </si>
  <si>
    <t>Scenario 3</t>
  </si>
  <si>
    <t>Scenario 4</t>
  </si>
  <si>
    <t>Scenario 5</t>
  </si>
  <si>
    <t>Five Global Threat Scenarios</t>
  </si>
  <si>
    <t>Potential Tons/Day Required by Region</t>
  </si>
  <si>
    <t>Avg. Shortfall Tons/Day</t>
  </si>
  <si>
    <t>Tons/Day</t>
  </si>
  <si>
    <t>Red</t>
  </si>
  <si>
    <t>Orange</t>
  </si>
  <si>
    <t>Planes Used</t>
  </si>
  <si>
    <t>Cost</t>
  </si>
  <si>
    <t>Number Assigned</t>
  </si>
  <si>
    <t>Maximum</t>
  </si>
  <si>
    <t>Cost in $MM</t>
  </si>
  <si>
    <t>Potential Aircraft in Portfolio</t>
  </si>
  <si>
    <t>Required Tons/Day by Region &amp;  Scenario</t>
  </si>
  <si>
    <t>Cost in $000s</t>
  </si>
  <si>
    <t>Global Threat Library:</t>
  </si>
  <si>
    <t>Avg. Shortfall</t>
  </si>
  <si>
    <t>Req_Red_A</t>
  </si>
  <si>
    <t>Req_Red_B</t>
  </si>
  <si>
    <t>Req_Red_C</t>
  </si>
  <si>
    <t>Req_Red_D</t>
  </si>
  <si>
    <t>Req_Red_E</t>
  </si>
  <si>
    <t>Req_Red_F</t>
  </si>
  <si>
    <t>Req_Orange_A</t>
  </si>
  <si>
    <t>Req_Orange_B</t>
  </si>
  <si>
    <t>Req_Orange_C</t>
  </si>
  <si>
    <t>Req_Orange_D</t>
  </si>
  <si>
    <t>Req_Orange_E</t>
  </si>
  <si>
    <t>Req_Orange_F</t>
  </si>
  <si>
    <t>Generated with the SIPmath™ Modeler Tools from ProbabilityManagement.org</t>
  </si>
  <si>
    <t>Index</t>
  </si>
  <si>
    <t>Values</t>
  </si>
  <si>
    <t>Average</t>
  </si>
  <si>
    <t>Shortfall01</t>
  </si>
  <si>
    <t>Shortfall02</t>
  </si>
  <si>
    <t>Shortfall03</t>
  </si>
  <si>
    <t>Shortfall04</t>
  </si>
  <si>
    <t>Shortfall05</t>
  </si>
  <si>
    <t>Shortfall06</t>
  </si>
  <si>
    <t>Shortfall07</t>
  </si>
  <si>
    <t>Shortfall08</t>
  </si>
  <si>
    <t>Shortfall09</t>
  </si>
  <si>
    <t>Shortfall10</t>
  </si>
  <si>
    <t>Shortfall11</t>
  </si>
  <si>
    <t>Shortfall12</t>
  </si>
  <si>
    <t>Shortfall13</t>
  </si>
  <si>
    <t>Shortfall14</t>
  </si>
  <si>
    <t>Shortfall15</t>
  </si>
  <si>
    <t>Shortfall16</t>
  </si>
  <si>
    <t>Shortfall17</t>
  </si>
  <si>
    <t>Shortfall18</t>
  </si>
  <si>
    <t>Shortfall19</t>
  </si>
  <si>
    <t>Total_Shortfall</t>
  </si>
  <si>
    <t>Total Shortfal</t>
  </si>
  <si>
    <t>© Copyright 2013, ProbabilityManagement.org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</si>
</sst>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6" formatCode="&quot;$&quot;#,##0_);[Red]\(&quot;$&quot;#,##0\)"/>
    <numFmt numFmtId="8" formatCode="&quot;$&quot;#,##0.00_);[Red]\(&quot;$&quot;#,##0.00\)"/>
    <numFmt numFmtId="164" formatCode="General_)"/>
    <numFmt numFmtId="165" formatCode="&quot;$&quot;#,##0"/>
    <numFmt numFmtId="166" formatCode="0.0"/>
  </numFmts>
  <fonts count="19" x14ac:knownFonts="1">
    <font>
      <sz val="10"/>
      <name val="MS Sans Serif"/>
    </font>
    <font>
      <sz val="10"/>
      <color indexed="12"/>
      <name val="MS Sans Serif"/>
      <family val="2"/>
    </font>
    <font>
      <sz val="10"/>
      <name val="MS Sans Serif"/>
      <family val="2"/>
    </font>
    <font>
      <sz val="10"/>
      <name val="Arial"/>
      <family val="2"/>
    </font>
    <font>
      <b/>
      <sz val="10"/>
      <name val="Arial"/>
      <family val="2"/>
    </font>
    <font>
      <b/>
      <i/>
      <sz val="16"/>
      <color indexed="10"/>
      <name val="Arial Black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2"/>
      <name val="MS Sans Serif"/>
      <family val="2"/>
    </font>
    <font>
      <b/>
      <sz val="12"/>
      <name val="MS Sans Serif"/>
      <family val="2"/>
    </font>
    <font>
      <sz val="10"/>
      <name val="MS Sans Serif"/>
      <family val="2"/>
    </font>
    <font>
      <b/>
      <sz val="14"/>
      <name val="MS Sans Serif"/>
      <family val="2"/>
    </font>
    <font>
      <b/>
      <sz val="10"/>
      <name val="MS Sans Serif"/>
      <family val="2"/>
    </font>
    <font>
      <sz val="10"/>
      <color rgb="FF000000"/>
      <name val="MS Sans Serif"/>
      <family val="2"/>
    </font>
    <font>
      <b/>
      <sz val="12"/>
      <name val="Arial Black"/>
      <family val="2"/>
    </font>
    <font>
      <b/>
      <sz val="10"/>
      <color theme="0"/>
      <name val="MS Sans Serif"/>
      <family val="2"/>
    </font>
    <font>
      <b/>
      <sz val="10"/>
      <color theme="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5D9F1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4">
    <xf numFmtId="0" fontId="0" fillId="0" borderId="0"/>
    <xf numFmtId="0" fontId="1" fillId="0" borderId="0" applyNumberFormat="0" applyFill="0" applyBorder="0" applyAlignment="0">
      <protection locked="0"/>
    </xf>
    <xf numFmtId="0" fontId="2" fillId="2" borderId="0" applyNumberFormat="0" applyBorder="0" applyAlignment="0">
      <protection locked="0"/>
    </xf>
    <xf numFmtId="8" fontId="2" fillId="0" borderId="0" applyFont="0" applyFill="0" applyBorder="0" applyAlignment="0" applyProtection="0"/>
  </cellStyleXfs>
  <cellXfs count="132">
    <xf numFmtId="0" fontId="0" fillId="0" borderId="0" xfId="0"/>
    <xf numFmtId="0" fontId="0" fillId="4" borderId="0" xfId="0" applyFill="1"/>
    <xf numFmtId="0" fontId="4" fillId="5" borderId="11" xfId="0" applyFont="1" applyFill="1" applyBorder="1" applyAlignment="1" applyProtection="1">
      <alignment horizontal="right"/>
    </xf>
    <xf numFmtId="0" fontId="4" fillId="5" borderId="12" xfId="0" applyFont="1" applyFill="1" applyBorder="1" applyAlignment="1">
      <alignment horizontal="right"/>
    </xf>
    <xf numFmtId="0" fontId="3" fillId="5" borderId="13" xfId="0" applyFont="1" applyFill="1" applyBorder="1"/>
    <xf numFmtId="0" fontId="3" fillId="5" borderId="14" xfId="0" applyFont="1" applyFill="1" applyBorder="1"/>
    <xf numFmtId="0" fontId="3" fillId="5" borderId="0" xfId="0" applyFont="1" applyFill="1" applyBorder="1" applyAlignment="1">
      <alignment horizontal="right"/>
    </xf>
    <xf numFmtId="0" fontId="3" fillId="5" borderId="15" xfId="0" applyFont="1" applyFill="1" applyBorder="1"/>
    <xf numFmtId="0" fontId="4" fillId="5" borderId="0" xfId="0" applyFont="1" applyFill="1" applyBorder="1" applyAlignment="1">
      <alignment horizontal="right"/>
    </xf>
    <xf numFmtId="0" fontId="3" fillId="5" borderId="16" xfId="0" applyFont="1" applyFill="1" applyBorder="1"/>
    <xf numFmtId="0" fontId="3" fillId="5" borderId="17" xfId="0" applyFont="1" applyFill="1" applyBorder="1" applyAlignment="1">
      <alignment horizontal="right"/>
    </xf>
    <xf numFmtId="0" fontId="3" fillId="5" borderId="18" xfId="0" applyFont="1" applyFill="1" applyBorder="1"/>
    <xf numFmtId="6" fontId="3" fillId="5" borderId="6" xfId="3" applyNumberFormat="1" applyFont="1" applyFill="1" applyBorder="1" applyAlignment="1" applyProtection="1">
      <alignment horizontal="center"/>
    </xf>
    <xf numFmtId="6" fontId="3" fillId="5" borderId="8" xfId="3" applyNumberFormat="1" applyFont="1" applyFill="1" applyBorder="1" applyAlignment="1" applyProtection="1">
      <alignment horizontal="center"/>
    </xf>
    <xf numFmtId="6" fontId="3" fillId="5" borderId="8" xfId="3" applyNumberFormat="1" applyFont="1" applyFill="1" applyBorder="1" applyAlignment="1">
      <alignment horizontal="center"/>
    </xf>
    <xf numFmtId="6" fontId="3" fillId="5" borderId="10" xfId="3" applyNumberFormat="1" applyFont="1" applyFill="1" applyBorder="1" applyAlignment="1">
      <alignment horizontal="center"/>
    </xf>
    <xf numFmtId="0" fontId="1" fillId="5" borderId="1" xfId="1" applyFill="1" applyBorder="1" applyAlignment="1">
      <alignment horizontal="center"/>
      <protection locked="0"/>
    </xf>
    <xf numFmtId="0" fontId="1" fillId="5" borderId="3" xfId="1" applyFill="1" applyBorder="1" applyAlignment="1">
      <alignment horizontal="center"/>
      <protection locked="0"/>
    </xf>
    <xf numFmtId="0" fontId="1" fillId="5" borderId="2" xfId="1" applyFill="1" applyBorder="1" applyAlignment="1">
      <alignment horizontal="center"/>
      <protection locked="0"/>
    </xf>
    <xf numFmtId="6" fontId="3" fillId="5" borderId="19" xfId="3" applyNumberFormat="1" applyFont="1" applyFill="1" applyBorder="1" applyAlignment="1" applyProtection="1">
      <alignment horizontal="center"/>
    </xf>
    <xf numFmtId="0" fontId="1" fillId="5" borderId="21" xfId="1" applyFill="1" applyBorder="1" applyAlignment="1">
      <alignment horizontal="center"/>
      <protection locked="0"/>
    </xf>
    <xf numFmtId="6" fontId="0" fillId="4" borderId="0" xfId="3" applyNumberFormat="1" applyFont="1" applyFill="1"/>
    <xf numFmtId="0" fontId="4" fillId="5" borderId="13" xfId="0" applyFont="1" applyFill="1" applyBorder="1" applyAlignment="1">
      <alignment horizontal="right"/>
    </xf>
    <xf numFmtId="0" fontId="3" fillId="5" borderId="15" xfId="0" applyFont="1" applyFill="1" applyBorder="1" applyAlignment="1">
      <alignment horizontal="right"/>
    </xf>
    <xf numFmtId="0" fontId="3" fillId="5" borderId="18" xfId="0" applyFont="1" applyFill="1" applyBorder="1" applyAlignment="1">
      <alignment horizontal="right"/>
    </xf>
    <xf numFmtId="0" fontId="4" fillId="5" borderId="15" xfId="0" applyFont="1" applyFill="1" applyBorder="1" applyAlignment="1">
      <alignment horizontal="right"/>
    </xf>
    <xf numFmtId="0" fontId="0" fillId="5" borderId="0" xfId="0" applyFill="1"/>
    <xf numFmtId="0" fontId="0" fillId="5" borderId="0" xfId="0" applyFill="1" applyBorder="1"/>
    <xf numFmtId="0" fontId="0" fillId="5" borderId="12" xfId="0" applyFill="1" applyBorder="1"/>
    <xf numFmtId="0" fontId="0" fillId="5" borderId="17" xfId="0" applyFill="1" applyBorder="1"/>
    <xf numFmtId="0" fontId="9" fillId="5" borderId="14" xfId="0" applyFont="1" applyFill="1" applyBorder="1"/>
    <xf numFmtId="0" fontId="9" fillId="5" borderId="11" xfId="0" applyFont="1" applyFill="1" applyBorder="1" applyAlignment="1" applyProtection="1">
      <alignment horizontal="left"/>
    </xf>
    <xf numFmtId="0" fontId="11" fillId="5" borderId="0" xfId="0" applyFont="1" applyFill="1" applyBorder="1"/>
    <xf numFmtId="0" fontId="9" fillId="5" borderId="0" xfId="0" applyFont="1" applyFill="1" applyBorder="1"/>
    <xf numFmtId="0" fontId="3" fillId="3" borderId="4" xfId="0" applyFont="1" applyFill="1" applyBorder="1"/>
    <xf numFmtId="0" fontId="2" fillId="0" borderId="0" xfId="0" applyFont="1"/>
    <xf numFmtId="0" fontId="0" fillId="6" borderId="0" xfId="0" applyFill="1"/>
    <xf numFmtId="1" fontId="0" fillId="3" borderId="0" xfId="0" applyNumberFormat="1" applyFill="1"/>
    <xf numFmtId="0" fontId="0" fillId="7" borderId="0" xfId="0" applyFill="1"/>
    <xf numFmtId="0" fontId="2" fillId="7" borderId="0" xfId="0" applyFont="1" applyFill="1"/>
    <xf numFmtId="1" fontId="0" fillId="7" borderId="0" xfId="0" applyNumberFormat="1" applyFill="1"/>
    <xf numFmtId="0" fontId="0" fillId="8" borderId="0" xfId="0" applyFill="1"/>
    <xf numFmtId="0" fontId="2" fillId="8" borderId="0" xfId="0" applyFont="1" applyFill="1"/>
    <xf numFmtId="1" fontId="0" fillId="8" borderId="0" xfId="0" applyNumberFormat="1" applyFill="1"/>
    <xf numFmtId="1" fontId="0" fillId="9" borderId="0" xfId="0" applyNumberFormat="1" applyFill="1"/>
    <xf numFmtId="1" fontId="2" fillId="0" borderId="0" xfId="0" applyNumberFormat="1" applyFont="1"/>
    <xf numFmtId="1" fontId="0" fillId="6" borderId="0" xfId="0" applyNumberFormat="1" applyFill="1"/>
    <xf numFmtId="166" fontId="0" fillId="6" borderId="0" xfId="0" applyNumberFormat="1" applyFill="1"/>
    <xf numFmtId="0" fontId="13" fillId="5" borderId="0" xfId="0" applyFont="1" applyFill="1" applyBorder="1"/>
    <xf numFmtId="0" fontId="13" fillId="5" borderId="0" xfId="0" applyFont="1" applyFill="1"/>
    <xf numFmtId="0" fontId="14" fillId="5" borderId="11" xfId="0" applyFont="1" applyFill="1" applyBorder="1"/>
    <xf numFmtId="0" fontId="14" fillId="5" borderId="12" xfId="0" applyFont="1" applyFill="1" applyBorder="1"/>
    <xf numFmtId="0" fontId="0" fillId="5" borderId="13" xfId="0" applyFill="1" applyBorder="1"/>
    <xf numFmtId="0" fontId="0" fillId="5" borderId="14" xfId="0" applyFill="1" applyBorder="1"/>
    <xf numFmtId="0" fontId="14" fillId="5" borderId="0" xfId="0" applyFont="1" applyFill="1" applyBorder="1" applyAlignment="1">
      <alignment horizontal="center"/>
    </xf>
    <xf numFmtId="0" fontId="14" fillId="5" borderId="15" xfId="0" applyFont="1" applyFill="1" applyBorder="1" applyAlignment="1">
      <alignment horizontal="center"/>
    </xf>
    <xf numFmtId="0" fontId="0" fillId="5" borderId="14" xfId="0" applyFill="1" applyBorder="1" applyAlignment="1">
      <alignment horizontal="right"/>
    </xf>
    <xf numFmtId="0" fontId="0" fillId="5" borderId="16" xfId="0" applyFill="1" applyBorder="1" applyAlignment="1">
      <alignment horizontal="right"/>
    </xf>
    <xf numFmtId="0" fontId="3" fillId="5" borderId="0" xfId="0" applyFont="1" applyFill="1" applyBorder="1"/>
    <xf numFmtId="0" fontId="12" fillId="5" borderId="0" xfId="0" applyFont="1" applyFill="1" applyBorder="1"/>
    <xf numFmtId="0" fontId="0" fillId="5" borderId="11" xfId="0" applyFill="1" applyBorder="1"/>
    <xf numFmtId="0" fontId="9" fillId="5" borderId="12" xfId="0" applyFont="1" applyFill="1" applyBorder="1" applyAlignment="1">
      <alignment horizontal="right"/>
    </xf>
    <xf numFmtId="0" fontId="8" fillId="5" borderId="12" xfId="0" applyFont="1" applyFill="1" applyBorder="1"/>
    <xf numFmtId="0" fontId="9" fillId="5" borderId="12" xfId="0" applyFont="1" applyFill="1" applyBorder="1" applyAlignment="1">
      <alignment horizontal="center"/>
    </xf>
    <xf numFmtId="0" fontId="2" fillId="5" borderId="0" xfId="0" applyFont="1" applyFill="1"/>
    <xf numFmtId="0" fontId="7" fillId="5" borderId="0" xfId="0" applyFont="1" applyFill="1" applyBorder="1"/>
    <xf numFmtId="0" fontId="0" fillId="5" borderId="16" xfId="0" applyFill="1" applyBorder="1"/>
    <xf numFmtId="0" fontId="3" fillId="5" borderId="17" xfId="0" applyFont="1" applyFill="1" applyBorder="1"/>
    <xf numFmtId="0" fontId="3" fillId="5" borderId="17" xfId="0" applyFont="1" applyFill="1" applyBorder="1" applyAlignment="1">
      <alignment horizontal="center"/>
    </xf>
    <xf numFmtId="0" fontId="0" fillId="5" borderId="14" xfId="0" applyFill="1" applyBorder="1" applyAlignment="1">
      <alignment horizontal="left"/>
    </xf>
    <xf numFmtId="0" fontId="3" fillId="5" borderId="0" xfId="0" applyFont="1" applyFill="1"/>
    <xf numFmtId="0" fontId="17" fillId="6" borderId="4" xfId="0" applyFont="1" applyFill="1" applyBorder="1"/>
    <xf numFmtId="0" fontId="17" fillId="10" borderId="4" xfId="0" applyFont="1" applyFill="1" applyBorder="1"/>
    <xf numFmtId="0" fontId="17" fillId="10" borderId="23" xfId="0" applyFont="1" applyFill="1" applyBorder="1"/>
    <xf numFmtId="1" fontId="17" fillId="10" borderId="4" xfId="0" applyNumberFormat="1" applyFont="1" applyFill="1" applyBorder="1"/>
    <xf numFmtId="1" fontId="17" fillId="10" borderId="23" xfId="0" applyNumberFormat="1" applyFont="1" applyFill="1" applyBorder="1"/>
    <xf numFmtId="0" fontId="17" fillId="10" borderId="22" xfId="0" applyFont="1" applyFill="1" applyBorder="1"/>
    <xf numFmtId="1" fontId="17" fillId="10" borderId="24" xfId="0" applyNumberFormat="1" applyFont="1" applyFill="1" applyBorder="1"/>
    <xf numFmtId="0" fontId="13" fillId="5" borderId="0" xfId="0" applyFont="1" applyFill="1" applyAlignment="1">
      <alignment horizontal="left"/>
    </xf>
    <xf numFmtId="165" fontId="16" fillId="5" borderId="4" xfId="0" applyNumberFormat="1" applyFont="1" applyFill="1" applyBorder="1" applyAlignment="1">
      <alignment horizontal="center"/>
    </xf>
    <xf numFmtId="166" fontId="16" fillId="5" borderId="4" xfId="0" applyNumberFormat="1" applyFont="1" applyFill="1" applyBorder="1" applyAlignment="1">
      <alignment horizontal="center"/>
    </xf>
    <xf numFmtId="1" fontId="16" fillId="5" borderId="4" xfId="0" applyNumberFormat="1" applyFont="1" applyFill="1" applyBorder="1" applyAlignment="1">
      <alignment horizontal="center"/>
    </xf>
    <xf numFmtId="0" fontId="2" fillId="5" borderId="0" xfId="0" applyFont="1" applyFill="1" applyBorder="1"/>
    <xf numFmtId="0" fontId="0" fillId="5" borderId="0" xfId="0" applyFill="1" applyAlignment="1">
      <alignment horizontal="center"/>
    </xf>
    <xf numFmtId="165" fontId="3" fillId="5" borderId="0" xfId="0" applyNumberFormat="1" applyFont="1" applyFill="1"/>
    <xf numFmtId="0" fontId="3" fillId="5" borderId="0" xfId="0" applyFont="1" applyFill="1" applyAlignment="1">
      <alignment horizontal="center"/>
    </xf>
    <xf numFmtId="0" fontId="9" fillId="5" borderId="0" xfId="0" applyFont="1" applyFill="1"/>
    <xf numFmtId="0" fontId="3" fillId="5" borderId="0" xfId="0" applyFont="1" applyFill="1" applyAlignment="1">
      <alignment horizontal="right"/>
    </xf>
    <xf numFmtId="0" fontId="4" fillId="5" borderId="0" xfId="0" applyFont="1" applyFill="1"/>
    <xf numFmtId="0" fontId="6" fillId="5" borderId="0" xfId="0" applyFont="1" applyFill="1"/>
    <xf numFmtId="0" fontId="0" fillId="5" borderId="0" xfId="0" applyFill="1" applyAlignment="1">
      <alignment horizontal="right"/>
    </xf>
    <xf numFmtId="0" fontId="9" fillId="5" borderId="0" xfId="0" applyFont="1" applyFill="1" applyAlignment="1">
      <alignment horizontal="center"/>
    </xf>
    <xf numFmtId="0" fontId="9" fillId="5" borderId="0" xfId="0" applyFont="1" applyFill="1" applyAlignment="1">
      <alignment horizontal="right"/>
    </xf>
    <xf numFmtId="0" fontId="10" fillId="5" borderId="2" xfId="0" applyFont="1" applyFill="1" applyBorder="1" applyAlignment="1">
      <alignment horizontal="center"/>
    </xf>
    <xf numFmtId="1" fontId="6" fillId="5" borderId="0" xfId="0" applyNumberFormat="1" applyFont="1" applyFill="1"/>
    <xf numFmtId="0" fontId="4" fillId="5" borderId="0" xfId="0" applyFont="1" applyFill="1" applyAlignment="1">
      <alignment horizontal="center" wrapText="1"/>
    </xf>
    <xf numFmtId="0" fontId="4" fillId="5" borderId="0" xfId="0" applyFont="1" applyFill="1" applyAlignment="1">
      <alignment horizontal="center"/>
    </xf>
    <xf numFmtId="0" fontId="3" fillId="5" borderId="5" xfId="0" applyFont="1" applyFill="1" applyBorder="1" applyAlignment="1">
      <alignment horizontal="center"/>
    </xf>
    <xf numFmtId="164" fontId="3" fillId="5" borderId="4" xfId="0" applyNumberFormat="1" applyFont="1" applyFill="1" applyBorder="1" applyAlignment="1" applyProtection="1">
      <alignment horizontal="center"/>
    </xf>
    <xf numFmtId="0" fontId="3" fillId="5" borderId="4" xfId="0" applyFont="1" applyFill="1" applyBorder="1" applyAlignment="1">
      <alignment horizontal="center"/>
    </xf>
    <xf numFmtId="0" fontId="3" fillId="5" borderId="4" xfId="0" applyFont="1" applyFill="1" applyBorder="1" applyAlignment="1" applyProtection="1">
      <alignment horizontal="center"/>
      <protection locked="0"/>
    </xf>
    <xf numFmtId="0" fontId="3" fillId="5" borderId="7" xfId="0" applyFont="1" applyFill="1" applyBorder="1" applyAlignment="1" applyProtection="1">
      <alignment horizontal="center"/>
      <protection locked="0"/>
    </xf>
    <xf numFmtId="1" fontId="3" fillId="5" borderId="0" xfId="0" applyNumberFormat="1" applyFont="1" applyFill="1"/>
    <xf numFmtId="0" fontId="3" fillId="5" borderId="20" xfId="0" applyFont="1" applyFill="1" applyBorder="1" applyAlignment="1" applyProtection="1">
      <alignment horizontal="center"/>
      <protection locked="0"/>
    </xf>
    <xf numFmtId="164" fontId="3" fillId="5" borderId="22" xfId="0" applyNumberFormat="1" applyFont="1" applyFill="1" applyBorder="1" applyAlignment="1" applyProtection="1">
      <alignment horizontal="center"/>
    </xf>
    <xf numFmtId="0" fontId="3" fillId="5" borderId="2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164" fontId="3" fillId="5" borderId="2" xfId="0" applyNumberFormat="1" applyFont="1" applyFill="1" applyBorder="1" applyAlignment="1" applyProtection="1">
      <alignment horizontal="center"/>
    </xf>
    <xf numFmtId="0" fontId="3" fillId="5" borderId="7" xfId="0" applyFont="1" applyFill="1" applyBorder="1" applyAlignment="1">
      <alignment horizontal="center"/>
    </xf>
    <xf numFmtId="0" fontId="3" fillId="5" borderId="7" xfId="0" applyFont="1" applyFill="1" applyBorder="1"/>
    <xf numFmtId="0" fontId="3" fillId="5" borderId="9" xfId="0" applyFont="1" applyFill="1" applyBorder="1"/>
    <xf numFmtId="165" fontId="0" fillId="5" borderId="0" xfId="0" applyNumberFormat="1" applyFill="1" applyAlignment="1">
      <alignment horizontal="center"/>
    </xf>
    <xf numFmtId="166" fontId="0" fillId="5" borderId="0" xfId="0" applyNumberFormat="1" applyFill="1" applyAlignment="1">
      <alignment horizontal="center"/>
    </xf>
    <xf numFmtId="0" fontId="2" fillId="5" borderId="4" xfId="0" applyFont="1" applyFill="1" applyBorder="1"/>
    <xf numFmtId="0" fontId="5" fillId="5" borderId="0" xfId="0" applyFont="1" applyFill="1"/>
    <xf numFmtId="0" fontId="9" fillId="5" borderId="0" xfId="0" applyFont="1" applyFill="1" applyBorder="1" applyAlignment="1">
      <alignment horizontal="center"/>
    </xf>
    <xf numFmtId="0" fontId="8" fillId="5" borderId="0" xfId="0" applyFont="1" applyFill="1" applyBorder="1"/>
    <xf numFmtId="0" fontId="3" fillId="5" borderId="0" xfId="0" applyFont="1" applyFill="1" applyBorder="1" applyAlignment="1">
      <alignment horizontal="center"/>
    </xf>
    <xf numFmtId="0" fontId="3" fillId="5" borderId="0" xfId="0" applyFont="1" applyFill="1" applyAlignment="1">
      <alignment horizontal="left"/>
    </xf>
    <xf numFmtId="0" fontId="0" fillId="3" borderId="0" xfId="0" applyFill="1"/>
    <xf numFmtId="0" fontId="0" fillId="5" borderId="18" xfId="0" applyFill="1" applyBorder="1"/>
    <xf numFmtId="0" fontId="17" fillId="6" borderId="4" xfId="0" quotePrefix="1" applyFont="1" applyFill="1" applyBorder="1"/>
    <xf numFmtId="0" fontId="0" fillId="0" borderId="25" xfId="0" applyBorder="1"/>
    <xf numFmtId="1" fontId="0" fillId="0" borderId="26" xfId="0" applyNumberFormat="1" applyBorder="1"/>
    <xf numFmtId="1" fontId="0" fillId="0" borderId="27" xfId="0" applyNumberFormat="1" applyBorder="1"/>
    <xf numFmtId="0" fontId="0" fillId="3" borderId="28" xfId="0" applyFill="1" applyBorder="1"/>
    <xf numFmtId="0" fontId="0" fillId="3" borderId="30" xfId="0" applyFill="1" applyBorder="1"/>
    <xf numFmtId="0" fontId="0" fillId="11" borderId="0" xfId="0" applyFill="1" applyBorder="1"/>
    <xf numFmtId="0" fontId="0" fillId="11" borderId="29" xfId="0" applyFill="1" applyBorder="1"/>
    <xf numFmtId="0" fontId="0" fillId="11" borderId="31" xfId="0" applyFill="1" applyBorder="1"/>
    <xf numFmtId="0" fontId="0" fillId="11" borderId="32" xfId="0" applyFill="1" applyBorder="1"/>
    <xf numFmtId="0" fontId="18" fillId="10" borderId="4" xfId="0" applyFont="1" applyFill="1" applyBorder="1"/>
  </cellXfs>
  <cellStyles count="4">
    <cellStyle name="Adjustable" xfId="1"/>
    <cellStyle name="Best" xfId="2"/>
    <cellStyle name="Currency" xfId="3" builtinId="4"/>
    <cellStyle name="Normal" xfId="0" builtinId="0"/>
  </cellStyles>
  <dxfs count="22">
    <dxf>
      <font>
        <b/>
        <i val="0"/>
        <condense val="0"/>
        <extend val="0"/>
        <color indexed="12"/>
      </font>
      <fill>
        <patternFill>
          <bgColor indexed="1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  <condense val="0"/>
        <extend val="0"/>
        <color indexed="12"/>
      </font>
      <fill>
        <patternFill>
          <bgColor indexed="1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noFill/>
            </a:ln>
          </c:spPr>
          <c:marker>
            <c:symbol val="circle"/>
            <c:size val="9"/>
            <c:spPr>
              <a:solidFill>
                <a:schemeClr val="bg1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Calculations!$D$30:$V$30</c:f>
              <c:numCache>
                <c:formatCode>0.0</c:formatCode>
                <c:ptCount val="19"/>
                <c:pt idx="0" formatCode="0">
                  <c:v>56</c:v>
                </c:pt>
                <c:pt idx="1">
                  <c:v>52</c:v>
                </c:pt>
                <c:pt idx="2">
                  <c:v>47</c:v>
                </c:pt>
                <c:pt idx="3">
                  <c:v>42</c:v>
                </c:pt>
                <c:pt idx="4">
                  <c:v>38</c:v>
                </c:pt>
                <c:pt idx="5">
                  <c:v>34</c:v>
                </c:pt>
                <c:pt idx="6">
                  <c:v>30</c:v>
                </c:pt>
                <c:pt idx="7">
                  <c:v>26.6</c:v>
                </c:pt>
                <c:pt idx="8">
                  <c:v>24</c:v>
                </c:pt>
                <c:pt idx="9">
                  <c:v>21.6</c:v>
                </c:pt>
                <c:pt idx="10">
                  <c:v>19.2</c:v>
                </c:pt>
                <c:pt idx="11">
                  <c:v>16.8</c:v>
                </c:pt>
                <c:pt idx="12">
                  <c:v>15.2</c:v>
                </c:pt>
                <c:pt idx="13">
                  <c:v>13.6</c:v>
                </c:pt>
                <c:pt idx="14">
                  <c:v>12.2</c:v>
                </c:pt>
                <c:pt idx="15">
                  <c:v>10.8</c:v>
                </c:pt>
                <c:pt idx="16">
                  <c:v>9.6</c:v>
                </c:pt>
                <c:pt idx="17">
                  <c:v>8.4</c:v>
                </c:pt>
                <c:pt idx="18">
                  <c:v>7.2</c:v>
                </c:pt>
              </c:numCache>
            </c:numRef>
          </c:xVal>
          <c:yVal>
            <c:numRef>
              <c:f>Calculations!$D$29:$V$29</c:f>
              <c:numCache>
                <c:formatCode>"$"#,##0_);[Red]\("$"#,##0\)</c:formatCode>
                <c:ptCount val="19"/>
                <c:pt idx="0">
                  <c:v>0</c:v>
                </c:pt>
                <c:pt idx="1">
                  <c:v>80</c:v>
                </c:pt>
                <c:pt idx="2">
                  <c:v>190</c:v>
                </c:pt>
                <c:pt idx="3">
                  <c:v>290</c:v>
                </c:pt>
                <c:pt idx="4">
                  <c:v>390</c:v>
                </c:pt>
                <c:pt idx="5">
                  <c:v>490</c:v>
                </c:pt>
                <c:pt idx="6">
                  <c:v>600</c:v>
                </c:pt>
                <c:pt idx="7">
                  <c:v>690</c:v>
                </c:pt>
                <c:pt idx="8">
                  <c:v>800</c:v>
                </c:pt>
                <c:pt idx="9">
                  <c:v>900</c:v>
                </c:pt>
                <c:pt idx="10">
                  <c:v>990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1490</c:v>
                </c:pt>
                <c:pt idx="16">
                  <c:v>1600</c:v>
                </c:pt>
                <c:pt idx="17">
                  <c:v>1700</c:v>
                </c:pt>
                <c:pt idx="18">
                  <c:v>1820</c:v>
                </c:pt>
              </c:numCache>
            </c:numRef>
          </c:yVal>
          <c:smooth val="1"/>
        </c:ser>
        <c:ser>
          <c:idx val="2"/>
          <c:order val="1"/>
          <c:tx>
            <c:v>Selection</c:v>
          </c:tx>
          <c:spPr>
            <a:ln w="28575">
              <a:noFill/>
            </a:ln>
          </c:spPr>
          <c:marker>
            <c:symbol val="circle"/>
            <c:size val="1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'Detailed Model'!$R$72</c:f>
              <c:numCache>
                <c:formatCode>0.0</c:formatCode>
                <c:ptCount val="1"/>
                <c:pt idx="0">
                  <c:v>13.6</c:v>
                </c:pt>
              </c:numCache>
            </c:numRef>
          </c:xVal>
          <c:yVal>
            <c:numRef>
              <c:f>'Detailed Model'!$Q$72</c:f>
              <c:numCache>
                <c:formatCode>"$"#,##0</c:formatCode>
                <c:ptCount val="1"/>
                <c:pt idx="0">
                  <c:v>1300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21536"/>
        <c:axId val="191523840"/>
      </c:scatterChart>
      <c:valAx>
        <c:axId val="19152153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 sz="1600" baseline="0"/>
                </a:pPr>
                <a:r>
                  <a:rPr lang="en-US" sz="1600" baseline="0"/>
                  <a:t>Risk of Shortfall Avg Tons/Day</a:t>
                </a:r>
              </a:p>
            </c:rich>
          </c:tx>
          <c:layout>
            <c:manualLayout>
              <c:xMode val="edge"/>
              <c:yMode val="edge"/>
              <c:x val="0.30738082997357363"/>
              <c:y val="0.92553507067825391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crossAx val="191523840"/>
        <c:crosses val="autoZero"/>
        <c:crossBetween val="midCat"/>
      </c:valAx>
      <c:valAx>
        <c:axId val="191523840"/>
        <c:scaling>
          <c:orientation val="minMax"/>
        </c:scaling>
        <c:delete val="0"/>
        <c:axPos val="l"/>
        <c:majorGridlines>
          <c:spPr>
            <a:ln w="0">
              <a:solidFill>
                <a:schemeClr val="bg2">
                  <a:lumMod val="90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en-US" sz="1600"/>
                  <a:t>Total Cost in $millions</a:t>
                </a:r>
              </a:p>
            </c:rich>
          </c:tx>
          <c:layout/>
          <c:overlay val="0"/>
        </c:title>
        <c:numFmt formatCode="&quot;$&quot;#,##0_);[Red]\(&quot;$&quot;#,##0\)" sourceLinked="1"/>
        <c:majorTickMark val="out"/>
        <c:minorTickMark val="none"/>
        <c:tickLblPos val="nextTo"/>
        <c:crossAx val="191521536"/>
        <c:crosses val="autoZero"/>
        <c:crossBetween val="midCat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Distribution of Shortfall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21429381840509426"/>
          <c:y val="0.19432945097695797"/>
          <c:w val="0.73788094953289862"/>
          <c:h val="0.58547995727137914"/>
        </c:manualLayout>
      </c:layout>
      <c:barChart>
        <c:barDir val="col"/>
        <c:grouping val="clustered"/>
        <c:varyColors val="0"/>
        <c:ser>
          <c:idx val="0"/>
          <c:order val="0"/>
          <c:tx>
            <c:v>BinCounts</c:v>
          </c:tx>
          <c:spPr>
            <a:solidFill>
              <a:schemeClr val="bg1">
                <a:lumMod val="65000"/>
              </a:schemeClr>
            </a:solidFill>
            <a:ln>
              <a:solidFill>
                <a:srgbClr val="010000"/>
              </a:solidFill>
              <a:prstDash val="solid"/>
            </a:ln>
          </c:spPr>
          <c:invertIfNegative val="0"/>
          <c:cat>
            <c:numRef>
              <c:f>'Detailed Model'!$AO$14:$AO$24</c:f>
              <c:numCache>
                <c:formatCode>0</c:formatCode>
                <c:ptCount val="1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</c:numCache>
            </c:numRef>
          </c:cat>
          <c:val>
            <c:numRef>
              <c:f>'Detailed Model'!$AP$14:$AP$23</c:f>
              <c:numCache>
                <c:formatCode>General</c:formatCode>
                <c:ptCount val="1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0.2</c:v>
                </c:pt>
                <c:pt idx="4">
                  <c:v>0.2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91769216"/>
        <c:axId val="191783680"/>
      </c:barChart>
      <c:catAx>
        <c:axId val="1917692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Shortfall Tons/Day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1783680"/>
        <c:crosses val="autoZero"/>
        <c:auto val="1"/>
        <c:lblAlgn val="ctr"/>
        <c:lblOffset val="100"/>
        <c:noMultiLvlLbl val="0"/>
      </c:catAx>
      <c:valAx>
        <c:axId val="191783680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91769216"/>
        <c:crosses val="autoZero"/>
        <c:crossBetween val="between"/>
      </c:valAx>
      <c:spPr>
        <a:solidFill>
          <a:schemeClr val="bg1"/>
        </a:solidFill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en-US"/>
    </a:p>
  </c:txPr>
  <c:printSettings>
    <c:headerFooter/>
    <c:pageMargins b="0.75000000000000322" l="0.70000000000000062" r="0.70000000000000062" t="0.7500000000000032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noFill/>
            </a:ln>
          </c:spPr>
          <c:marker>
            <c:symbol val="circle"/>
            <c:size val="9"/>
            <c:spPr>
              <a:solidFill>
                <a:schemeClr val="bg1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Calculations!$D$30:$V$30</c:f>
              <c:numCache>
                <c:formatCode>0.0</c:formatCode>
                <c:ptCount val="19"/>
                <c:pt idx="0" formatCode="0">
                  <c:v>56</c:v>
                </c:pt>
                <c:pt idx="1">
                  <c:v>52</c:v>
                </c:pt>
                <c:pt idx="2">
                  <c:v>47</c:v>
                </c:pt>
                <c:pt idx="3">
                  <c:v>42</c:v>
                </c:pt>
                <c:pt idx="4">
                  <c:v>38</c:v>
                </c:pt>
                <c:pt idx="5">
                  <c:v>34</c:v>
                </c:pt>
                <c:pt idx="6">
                  <c:v>30</c:v>
                </c:pt>
                <c:pt idx="7">
                  <c:v>26.6</c:v>
                </c:pt>
                <c:pt idx="8">
                  <c:v>24</c:v>
                </c:pt>
                <c:pt idx="9">
                  <c:v>21.6</c:v>
                </c:pt>
                <c:pt idx="10">
                  <c:v>19.2</c:v>
                </c:pt>
                <c:pt idx="11">
                  <c:v>16.8</c:v>
                </c:pt>
                <c:pt idx="12">
                  <c:v>15.2</c:v>
                </c:pt>
                <c:pt idx="13">
                  <c:v>13.6</c:v>
                </c:pt>
                <c:pt idx="14">
                  <c:v>12.2</c:v>
                </c:pt>
                <c:pt idx="15">
                  <c:v>10.8</c:v>
                </c:pt>
                <c:pt idx="16">
                  <c:v>9.6</c:v>
                </c:pt>
                <c:pt idx="17">
                  <c:v>8.4</c:v>
                </c:pt>
                <c:pt idx="18">
                  <c:v>7.2</c:v>
                </c:pt>
              </c:numCache>
            </c:numRef>
          </c:xVal>
          <c:yVal>
            <c:numRef>
              <c:f>Calculations!$D$29:$V$29</c:f>
              <c:numCache>
                <c:formatCode>"$"#,##0_);[Red]\("$"#,##0\)</c:formatCode>
                <c:ptCount val="19"/>
                <c:pt idx="0">
                  <c:v>0</c:v>
                </c:pt>
                <c:pt idx="1">
                  <c:v>80</c:v>
                </c:pt>
                <c:pt idx="2">
                  <c:v>190</c:v>
                </c:pt>
                <c:pt idx="3">
                  <c:v>290</c:v>
                </c:pt>
                <c:pt idx="4">
                  <c:v>390</c:v>
                </c:pt>
                <c:pt idx="5">
                  <c:v>490</c:v>
                </c:pt>
                <c:pt idx="6">
                  <c:v>600</c:v>
                </c:pt>
                <c:pt idx="7">
                  <c:v>690</c:v>
                </c:pt>
                <c:pt idx="8">
                  <c:v>800</c:v>
                </c:pt>
                <c:pt idx="9">
                  <c:v>900</c:v>
                </c:pt>
                <c:pt idx="10">
                  <c:v>990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1490</c:v>
                </c:pt>
                <c:pt idx="16">
                  <c:v>1600</c:v>
                </c:pt>
                <c:pt idx="17">
                  <c:v>1700</c:v>
                </c:pt>
                <c:pt idx="18">
                  <c:v>1820</c:v>
                </c:pt>
              </c:numCache>
            </c:numRef>
          </c:yVal>
          <c:smooth val="1"/>
        </c:ser>
        <c:ser>
          <c:idx val="1"/>
          <c:order val="1"/>
          <c:tx>
            <c:v>Selection</c:v>
          </c:tx>
          <c:spPr>
            <a:ln w="28575">
              <a:noFill/>
            </a:ln>
          </c:spPr>
          <c:marker>
            <c:symbol val="circle"/>
            <c:size val="1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'Detailed Model'!$R$72</c:f>
              <c:numCache>
                <c:formatCode>0.0</c:formatCode>
                <c:ptCount val="1"/>
                <c:pt idx="0">
                  <c:v>13.6</c:v>
                </c:pt>
              </c:numCache>
            </c:numRef>
          </c:xVal>
          <c:yVal>
            <c:numRef>
              <c:f>'Detailed Model'!$Q$72</c:f>
              <c:numCache>
                <c:formatCode>"$"#,##0</c:formatCode>
                <c:ptCount val="1"/>
                <c:pt idx="0">
                  <c:v>1300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259968"/>
        <c:axId val="192266624"/>
      </c:scatterChart>
      <c:valAx>
        <c:axId val="192259968"/>
        <c:scaling>
          <c:orientation val="minMax"/>
          <c:max val="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600" baseline="0"/>
                </a:pPr>
                <a:r>
                  <a:rPr lang="en-US" sz="1600" baseline="0"/>
                  <a:t>Risk of Shortfall Avg Tons/Day</a:t>
                </a:r>
              </a:p>
            </c:rich>
          </c:tx>
          <c:layout>
            <c:manualLayout>
              <c:xMode val="edge"/>
              <c:yMode val="edge"/>
              <c:x val="0.20498101176589187"/>
              <c:y val="0.90647260187914558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crossAx val="192266624"/>
        <c:crosses val="autoZero"/>
        <c:crossBetween val="midCat"/>
      </c:valAx>
      <c:valAx>
        <c:axId val="192266624"/>
        <c:scaling>
          <c:orientation val="minMax"/>
        </c:scaling>
        <c:delete val="0"/>
        <c:axPos val="l"/>
        <c:majorGridlines>
          <c:spPr>
            <a:ln w="0">
              <a:solidFill>
                <a:schemeClr val="bg2">
                  <a:lumMod val="90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en-US" sz="1600" b="1" i="0" baseline="0">
                    <a:effectLst/>
                  </a:rPr>
                  <a:t>Cost per Day in $000s</a:t>
                </a:r>
                <a:endParaRPr lang="en-US" sz="1600">
                  <a:effectLst/>
                </a:endParaRPr>
              </a:p>
            </c:rich>
          </c:tx>
          <c:layout/>
          <c:overlay val="0"/>
        </c:title>
        <c:numFmt formatCode="&quot;$&quot;#,##0_);[Red]\(&quot;$&quot;#,##0\)" sourceLinked="1"/>
        <c:majorTickMark val="out"/>
        <c:minorTickMark val="none"/>
        <c:tickLblPos val="nextTo"/>
        <c:crossAx val="192259968"/>
        <c:crosses val="autoZero"/>
        <c:crossBetween val="midCat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0322" l="0.70000000000000062" r="0.70000000000000062" t="0.7500000000000032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Distribution of Shortfall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21429381840509432"/>
          <c:y val="0.19432945097695797"/>
          <c:w val="0.73788094953289862"/>
          <c:h val="0.58547995727137914"/>
        </c:manualLayout>
      </c:layout>
      <c:barChart>
        <c:barDir val="col"/>
        <c:grouping val="clustered"/>
        <c:varyColors val="0"/>
        <c:ser>
          <c:idx val="0"/>
          <c:order val="0"/>
          <c:tx>
            <c:v>BinCounts</c:v>
          </c:tx>
          <c:spPr>
            <a:solidFill>
              <a:schemeClr val="bg1">
                <a:lumMod val="65000"/>
              </a:schemeClr>
            </a:solidFill>
            <a:ln>
              <a:solidFill>
                <a:srgbClr val="010000"/>
              </a:solidFill>
              <a:prstDash val="solid"/>
            </a:ln>
          </c:spPr>
          <c:invertIfNegative val="0"/>
          <c:cat>
            <c:numRef>
              <c:f>'Detailed Model'!$AO$14:$AO$24</c:f>
              <c:numCache>
                <c:formatCode>0</c:formatCode>
                <c:ptCount val="1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</c:numCache>
            </c:numRef>
          </c:cat>
          <c:val>
            <c:numRef>
              <c:f>'Detailed Model'!$AP$14:$AP$23</c:f>
              <c:numCache>
                <c:formatCode>General</c:formatCode>
                <c:ptCount val="1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0.2</c:v>
                </c:pt>
                <c:pt idx="4">
                  <c:v>0.2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92757760"/>
        <c:axId val="192759680"/>
      </c:barChart>
      <c:catAx>
        <c:axId val="192757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Shortfall Tons/Day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92759680"/>
        <c:crosses val="autoZero"/>
        <c:auto val="1"/>
        <c:lblAlgn val="ctr"/>
        <c:lblOffset val="100"/>
        <c:noMultiLvlLbl val="0"/>
      </c:catAx>
      <c:valAx>
        <c:axId val="192759680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92757760"/>
        <c:crosses val="autoZero"/>
        <c:crossBetween val="between"/>
      </c:valAx>
      <c:spPr>
        <a:solidFill>
          <a:sysClr val="window" lastClr="FFFFFF"/>
        </a:solidFill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en-US"/>
    </a:p>
  </c:txPr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Drop" dropLines="2" dropStyle="combo" dx="16" fmlaLink="$AA$54" fmlaRange="$AI$4:$AI$5" noThreeD="1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2" dropStyle="combo" dx="16" fmlaLink="'High Level Model'!$AA$54" fmlaRange="'High Level Model'!$AI$4:$AI$5" noThreeD="1" val="0"/>
</file>

<file path=xl/ctrlProps/ctrlProp4.xml><?xml version="1.0" encoding="utf-8"?>
<formControlPr xmlns="http://schemas.microsoft.com/office/spreadsheetml/2009/9/main" objectType="Scroll" dx="16" fmlaLink="$H$4" horiz="1" max="5" page="10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chart" Target="../charts/chart3.xml"/><Relationship Id="rId5" Type="http://schemas.openxmlformats.org/officeDocument/2006/relationships/chart" Target="../charts/chart4.xml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95251</xdr:rowOff>
    </xdr:from>
    <xdr:to>
      <xdr:col>8</xdr:col>
      <xdr:colOff>526254</xdr:colOff>
      <xdr:row>7</xdr:row>
      <xdr:rowOff>114300</xdr:rowOff>
    </xdr:to>
    <xdr:sp macro="" textlink="">
      <xdr:nvSpPr>
        <xdr:cNvPr id="2" name="TextBox 1"/>
        <xdr:cNvSpPr txBox="1"/>
      </xdr:nvSpPr>
      <xdr:spPr>
        <a:xfrm>
          <a:off x="85725" y="95251"/>
          <a:ext cx="5317329" cy="11525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en-US" sz="1600">
              <a:solidFill>
                <a:schemeClr val="dk1"/>
              </a:solidFill>
              <a:latin typeface="+mn-lt"/>
              <a:ea typeface="+mn-ea"/>
              <a:cs typeface="+mn-cs"/>
            </a:rPr>
            <a:t>This model accompanies</a:t>
          </a:r>
        </a:p>
        <a:p>
          <a:pPr algn="ctr"/>
          <a:r>
            <a:rPr lang="en-US" sz="2000">
              <a:solidFill>
                <a:schemeClr val="dk1"/>
              </a:solidFill>
              <a:latin typeface="+mn-lt"/>
              <a:ea typeface="+mn-ea"/>
              <a:cs typeface="+mn-cs"/>
            </a:rPr>
            <a:t>Cost vs. Risk in Defense Portfolios</a:t>
          </a:r>
        </a:p>
        <a:p>
          <a:pPr algn="ctr"/>
          <a:r>
            <a:rPr lang="en-US" sz="1600">
              <a:solidFill>
                <a:schemeClr val="dk1"/>
              </a:solidFill>
              <a:latin typeface="+mn-lt"/>
              <a:ea typeface="+mn-ea"/>
              <a:cs typeface="+mn-cs"/>
            </a:rPr>
            <a:t>by Sam L. Savage &amp; Philip Fahringer</a:t>
          </a:r>
        </a:p>
        <a:p>
          <a:pPr algn="ctr"/>
          <a:r>
            <a:rPr lang="en-US" sz="1600">
              <a:solidFill>
                <a:schemeClr val="dk1"/>
              </a:solidFill>
              <a:latin typeface="+mn-lt"/>
              <a:ea typeface="+mn-ea"/>
              <a:cs typeface="+mn-cs"/>
            </a:rPr>
            <a:t>Paper available at www.ProbabilityManagement.org</a:t>
          </a:r>
          <a:endParaRPr lang="en-US" sz="1600"/>
        </a:p>
      </xdr:txBody>
    </xdr:sp>
    <xdr:clientData/>
  </xdr:twoCellAnchor>
  <xdr:twoCellAnchor editAs="oneCell">
    <xdr:from>
      <xdr:col>0</xdr:col>
      <xdr:colOff>161925</xdr:colOff>
      <xdr:row>9</xdr:row>
      <xdr:rowOff>0</xdr:rowOff>
    </xdr:from>
    <xdr:to>
      <xdr:col>10</xdr:col>
      <xdr:colOff>9525</xdr:colOff>
      <xdr:row>37</xdr:row>
      <xdr:rowOff>142875</xdr:rowOff>
    </xdr:to>
    <xdr:pic>
      <xdr:nvPicPr>
        <xdr:cNvPr id="4101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61925" y="1457325"/>
          <a:ext cx="5943600" cy="4676775"/>
        </a:xfrm>
        <a:prstGeom prst="rect">
          <a:avLst/>
        </a:prstGeom>
        <a:noFill/>
      </xdr:spPr>
    </xdr:pic>
    <xdr:clientData/>
  </xdr:twoCellAnchor>
  <xdr:twoCellAnchor editAs="oneCell">
    <xdr:from>
      <xdr:col>10</xdr:col>
      <xdr:colOff>304800</xdr:colOff>
      <xdr:row>21</xdr:row>
      <xdr:rowOff>0</xdr:rowOff>
    </xdr:from>
    <xdr:to>
      <xdr:col>20</xdr:col>
      <xdr:colOff>152400</xdr:colOff>
      <xdr:row>38</xdr:row>
      <xdr:rowOff>152400</xdr:rowOff>
    </xdr:to>
    <xdr:pic>
      <xdr:nvPicPr>
        <xdr:cNvPr id="4103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400800" y="3400425"/>
          <a:ext cx="5943600" cy="2905125"/>
        </a:xfrm>
        <a:prstGeom prst="rect">
          <a:avLst/>
        </a:prstGeom>
        <a:noFill/>
      </xdr:spPr>
    </xdr:pic>
    <xdr:clientData/>
  </xdr:twoCellAnchor>
  <xdr:twoCellAnchor editAs="oneCell">
    <xdr:from>
      <xdr:col>10</xdr:col>
      <xdr:colOff>295275</xdr:colOff>
      <xdr:row>0</xdr:row>
      <xdr:rowOff>152400</xdr:rowOff>
    </xdr:from>
    <xdr:to>
      <xdr:col>20</xdr:col>
      <xdr:colOff>133350</xdr:colOff>
      <xdr:row>21</xdr:row>
      <xdr:rowOff>85725</xdr:rowOff>
    </xdr:to>
    <xdr:pic>
      <xdr:nvPicPr>
        <xdr:cNvPr id="6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91275" y="152400"/>
          <a:ext cx="5934075" cy="3333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569119</xdr:colOff>
      <xdr:row>9</xdr:row>
      <xdr:rowOff>28575</xdr:rowOff>
    </xdr:from>
    <xdr:to>
      <xdr:col>10</xdr:col>
      <xdr:colOff>431484</xdr:colOff>
      <xdr:row>11</xdr:row>
      <xdr:rowOff>150382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0503" r="12856"/>
        <a:stretch>
          <a:fillRect/>
        </a:stretch>
      </xdr:blipFill>
      <xdr:spPr>
        <a:xfrm>
          <a:off x="1559719" y="2038350"/>
          <a:ext cx="1081565" cy="540907"/>
        </a:xfrm>
        <a:prstGeom prst="rect">
          <a:avLst/>
        </a:prstGeom>
      </xdr:spPr>
    </xdr:pic>
    <xdr:clientData/>
  </xdr:twoCellAnchor>
  <xdr:twoCellAnchor editAs="oneCell">
    <xdr:from>
      <xdr:col>8</xdr:col>
      <xdr:colOff>378618</xdr:colOff>
      <xdr:row>16</xdr:row>
      <xdr:rowOff>40068</xdr:rowOff>
    </xdr:from>
    <xdr:to>
      <xdr:col>12</xdr:col>
      <xdr:colOff>5548</xdr:colOff>
      <xdr:row>20</xdr:row>
      <xdr:rowOff>70101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 t="9014" r="10034" b="23885"/>
        <a:stretch>
          <a:fillRect/>
        </a:stretch>
      </xdr:blipFill>
      <xdr:spPr>
        <a:xfrm flipH="1">
          <a:off x="1369218" y="3402393"/>
          <a:ext cx="2065330" cy="753933"/>
        </a:xfrm>
        <a:prstGeom prst="rect">
          <a:avLst/>
        </a:prstGeom>
      </xdr:spPr>
    </xdr:pic>
    <xdr:clientData/>
  </xdr:twoCellAnchor>
  <xdr:twoCellAnchor editAs="oneCell">
    <xdr:from>
      <xdr:col>8</xdr:col>
      <xdr:colOff>114300</xdr:colOff>
      <xdr:row>24</xdr:row>
      <xdr:rowOff>96459</xdr:rowOff>
    </xdr:from>
    <xdr:to>
      <xdr:col>12</xdr:col>
      <xdr:colOff>414331</xdr:colOff>
      <xdr:row>29</xdr:row>
      <xdr:rowOff>95250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 l="3275" t="8178" r="5010" b="17284"/>
        <a:stretch>
          <a:fillRect/>
        </a:stretch>
      </xdr:blipFill>
      <xdr:spPr>
        <a:xfrm flipH="1">
          <a:off x="1104900" y="4925634"/>
          <a:ext cx="2738431" cy="808416"/>
        </a:xfrm>
        <a:prstGeom prst="rect">
          <a:avLst/>
        </a:prstGeom>
      </xdr:spPr>
    </xdr:pic>
    <xdr:clientData/>
  </xdr:twoCellAnchor>
  <xdr:twoCellAnchor>
    <xdr:from>
      <xdr:col>1</xdr:col>
      <xdr:colOff>38101</xdr:colOff>
      <xdr:row>7</xdr:row>
      <xdr:rowOff>226219</xdr:rowOff>
    </xdr:from>
    <xdr:to>
      <xdr:col>7</xdr:col>
      <xdr:colOff>371475</xdr:colOff>
      <xdr:row>14</xdr:row>
      <xdr:rowOff>142875</xdr:rowOff>
    </xdr:to>
    <xdr:sp macro="" textlink="">
      <xdr:nvSpPr>
        <xdr:cNvPr id="7" name="TextBox 6"/>
        <xdr:cNvSpPr txBox="1"/>
      </xdr:nvSpPr>
      <xdr:spPr>
        <a:xfrm>
          <a:off x="228601" y="1359694"/>
          <a:ext cx="4057649" cy="125968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400"/>
            <a:t>You must choose a portfolio of transport aircraft to cover</a:t>
          </a:r>
          <a:r>
            <a:rPr lang="en-US" sz="1400" baseline="0"/>
            <a:t> 6 regions with uncertain lift requirements . The uncertainty has been captured in </a:t>
          </a:r>
          <a:r>
            <a:rPr lang="en-US" sz="1400" baseline="0">
              <a:solidFill>
                <a:schemeClr val="dk1"/>
              </a:solidFill>
              <a:latin typeface="+mn-lt"/>
              <a:ea typeface="+mn-ea"/>
              <a:cs typeface="+mn-cs"/>
            </a:rPr>
            <a:t>five equally likely global threat scenarios specified </a:t>
          </a:r>
          <a:r>
            <a:rPr lang="en-US" sz="1400" baseline="0"/>
            <a:t>in tons of materiel per day for each region.</a:t>
          </a:r>
          <a:endParaRPr lang="en-US" sz="1400"/>
        </a:p>
      </xdr:txBody>
    </xdr:sp>
    <xdr:clientData/>
  </xdr:twoCellAnchor>
  <xdr:twoCellAnchor>
    <xdr:from>
      <xdr:col>4</xdr:col>
      <xdr:colOff>295276</xdr:colOff>
      <xdr:row>16</xdr:row>
      <xdr:rowOff>7145</xdr:rowOff>
    </xdr:from>
    <xdr:to>
      <xdr:col>7</xdr:col>
      <xdr:colOff>371475</xdr:colOff>
      <xdr:row>20</xdr:row>
      <xdr:rowOff>85725</xdr:rowOff>
    </xdr:to>
    <xdr:sp macro="" textlink="">
      <xdr:nvSpPr>
        <xdr:cNvPr id="8" name="TextBox 7"/>
        <xdr:cNvSpPr txBox="1"/>
      </xdr:nvSpPr>
      <xdr:spPr>
        <a:xfrm>
          <a:off x="2381251" y="2902745"/>
          <a:ext cx="1904999" cy="80248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400"/>
            <a:t>Enable Macros in Excel and minimize the ribbon run</a:t>
          </a:r>
          <a:r>
            <a:rPr lang="en-US" sz="1400" baseline="0"/>
            <a:t> the model</a:t>
          </a:r>
          <a:endParaRPr lang="en-US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569119</xdr:colOff>
      <xdr:row>11</xdr:row>
      <xdr:rowOff>28575</xdr:rowOff>
    </xdr:from>
    <xdr:to>
      <xdr:col>3</xdr:col>
      <xdr:colOff>364809</xdr:colOff>
      <xdr:row>14</xdr:row>
      <xdr:rowOff>83707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0503" r="12856"/>
        <a:stretch>
          <a:fillRect/>
        </a:stretch>
      </xdr:blipFill>
      <xdr:spPr>
        <a:xfrm>
          <a:off x="1178719" y="1819275"/>
          <a:ext cx="1081565" cy="540907"/>
        </a:xfrm>
        <a:prstGeom prst="rect">
          <a:avLst/>
        </a:prstGeom>
      </xdr:spPr>
    </xdr:pic>
    <xdr:clientData/>
  </xdr:twoCellAnchor>
  <xdr:twoCellAnchor editAs="oneCell">
    <xdr:from>
      <xdr:col>1</xdr:col>
      <xdr:colOff>378618</xdr:colOff>
      <xdr:row>18</xdr:row>
      <xdr:rowOff>40068</xdr:rowOff>
    </xdr:from>
    <xdr:to>
      <xdr:col>4</xdr:col>
      <xdr:colOff>548474</xdr:colOff>
      <xdr:row>22</xdr:row>
      <xdr:rowOff>146301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 t="9014" r="10034" b="23885"/>
        <a:stretch>
          <a:fillRect/>
        </a:stretch>
      </xdr:blipFill>
      <xdr:spPr>
        <a:xfrm flipH="1">
          <a:off x="988218" y="3002343"/>
          <a:ext cx="2065330" cy="753933"/>
        </a:xfrm>
        <a:prstGeom prst="rect">
          <a:avLst/>
        </a:prstGeom>
      </xdr:spPr>
    </xdr:pic>
    <xdr:clientData/>
  </xdr:twoCellAnchor>
  <xdr:twoCellAnchor editAs="oneCell">
    <xdr:from>
      <xdr:col>1</xdr:col>
      <xdr:colOff>114300</xdr:colOff>
      <xdr:row>26</xdr:row>
      <xdr:rowOff>96459</xdr:rowOff>
    </xdr:from>
    <xdr:to>
      <xdr:col>5</xdr:col>
      <xdr:colOff>347656</xdr:colOff>
      <xdr:row>31</xdr:row>
      <xdr:rowOff>95250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 l="3275" t="8178" r="5010" b="17284"/>
        <a:stretch>
          <a:fillRect/>
        </a:stretch>
      </xdr:blipFill>
      <xdr:spPr>
        <a:xfrm flipH="1">
          <a:off x="1104900" y="4887534"/>
          <a:ext cx="2738431" cy="808416"/>
        </a:xfrm>
        <a:prstGeom prst="rect">
          <a:avLst/>
        </a:prstGeom>
      </xdr:spPr>
    </xdr:pic>
    <xdr:clientData/>
  </xdr:twoCellAnchor>
  <xdr:twoCellAnchor>
    <xdr:from>
      <xdr:col>6</xdr:col>
      <xdr:colOff>133350</xdr:colOff>
      <xdr:row>10</xdr:row>
      <xdr:rowOff>19050</xdr:rowOff>
    </xdr:from>
    <xdr:to>
      <xdr:col>15</xdr:col>
      <xdr:colOff>485775</xdr:colOff>
      <xdr:row>37</xdr:row>
      <xdr:rowOff>66675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176212</xdr:colOff>
      <xdr:row>12</xdr:row>
      <xdr:rowOff>107155</xdr:rowOff>
    </xdr:from>
    <xdr:to>
      <xdr:col>15</xdr:col>
      <xdr:colOff>326230</xdr:colOff>
      <xdr:row>23</xdr:row>
      <xdr:rowOff>23812</xdr:rowOff>
    </xdr:to>
    <xdr:graphicFrame macro="">
      <xdr:nvGraphicFramePr>
        <xdr:cNvPr id="12" name="Chart DistoGram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202406</xdr:colOff>
      <xdr:row>2</xdr:row>
      <xdr:rowOff>52387</xdr:rowOff>
    </xdr:from>
    <xdr:to>
      <xdr:col>37</xdr:col>
      <xdr:colOff>71436</xdr:colOff>
      <xdr:row>7</xdr:row>
      <xdr:rowOff>183355</xdr:rowOff>
    </xdr:to>
    <xdr:sp macro="" textlink="">
      <xdr:nvSpPr>
        <xdr:cNvPr id="14" name="TextBox 13"/>
        <xdr:cNvSpPr txBox="1"/>
      </xdr:nvSpPr>
      <xdr:spPr>
        <a:xfrm>
          <a:off x="11108531" y="376237"/>
          <a:ext cx="10232230" cy="950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en-US" sz="2400">
              <a:solidFill>
                <a:schemeClr val="dk1"/>
              </a:solidFill>
              <a:latin typeface="+mn-lt"/>
              <a:ea typeface="+mn-ea"/>
              <a:cs typeface="+mn-cs"/>
            </a:rPr>
            <a:t>The Efficient Frontier</a:t>
          </a:r>
        </a:p>
        <a:p>
          <a:pPr algn="l"/>
          <a:r>
            <a:rPr lang="en-US" sz="1600">
              <a:solidFill>
                <a:schemeClr val="dk1"/>
              </a:solidFill>
              <a:latin typeface="+mn-lt"/>
              <a:ea typeface="+mn-ea"/>
              <a:cs typeface="+mn-cs"/>
            </a:rPr>
            <a:t>The</a:t>
          </a:r>
          <a:r>
            <a:rPr lang="en-US" sz="1600" baseline="0">
              <a:solidFill>
                <a:schemeClr val="dk1"/>
              </a:solidFill>
              <a:latin typeface="+mn-lt"/>
              <a:ea typeface="+mn-ea"/>
              <a:cs typeface="+mn-cs"/>
            </a:rPr>
            <a:t> curve below shows the tradeoff between the cost of a portfolio of aircraft, and the risk of  shortfall in lift capacity measured in average tons per day. Click the points on the frontier to display the associated portfolio.</a:t>
          </a:r>
          <a:endParaRPr lang="en-US" sz="1600"/>
        </a:p>
      </xdr:txBody>
    </xdr:sp>
    <xdr:clientData/>
  </xdr:twoCellAnchor>
  <xdr:twoCellAnchor>
    <xdr:from>
      <xdr:col>18</xdr:col>
      <xdr:colOff>266700</xdr:colOff>
      <xdr:row>7</xdr:row>
      <xdr:rowOff>200026</xdr:rowOff>
    </xdr:from>
    <xdr:to>
      <xdr:col>28</xdr:col>
      <xdr:colOff>133350</xdr:colOff>
      <xdr:row>11</xdr:row>
      <xdr:rowOff>133350</xdr:rowOff>
    </xdr:to>
    <xdr:sp macro="" textlink="">
      <xdr:nvSpPr>
        <xdr:cNvPr id="18" name="TextBox 17"/>
        <xdr:cNvSpPr txBox="1"/>
      </xdr:nvSpPr>
      <xdr:spPr>
        <a:xfrm>
          <a:off x="10772775" y="1343026"/>
          <a:ext cx="5143500" cy="7905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400"/>
            <a:t>The </a:t>
          </a:r>
          <a:r>
            <a:rPr lang="en-US" sz="1400" baseline="0"/>
            <a:t>the frontier was optimized under the Red Threat Library. However, you can quickly see how these portfolios would perform under different libraries of threat scenarios.</a:t>
          </a:r>
          <a:endParaRPr lang="en-US" sz="1400"/>
        </a:p>
      </xdr:txBody>
    </xdr:sp>
    <xdr:clientData/>
  </xdr:twoCellAnchor>
  <xdr:twoCellAnchor>
    <xdr:from>
      <xdr:col>20</xdr:col>
      <xdr:colOff>209550</xdr:colOff>
      <xdr:row>12</xdr:row>
      <xdr:rowOff>47625</xdr:rowOff>
    </xdr:from>
    <xdr:to>
      <xdr:col>22</xdr:col>
      <xdr:colOff>341312</xdr:colOff>
      <xdr:row>15</xdr:row>
      <xdr:rowOff>65086</xdr:rowOff>
    </xdr:to>
    <xdr:sp macro="" textlink="">
      <xdr:nvSpPr>
        <xdr:cNvPr id="19" name="Rounded Rectangular Callout 18"/>
        <xdr:cNvSpPr/>
      </xdr:nvSpPr>
      <xdr:spPr bwMode="auto">
        <a:xfrm>
          <a:off x="11077575" y="2209800"/>
          <a:ext cx="1027112" cy="503236"/>
        </a:xfrm>
        <a:prstGeom prst="wedgeRoundRectCallout">
          <a:avLst>
            <a:gd name="adj1" fmla="val 34818"/>
            <a:gd name="adj2" fmla="val 95689"/>
            <a:gd name="adj3" fmla="val 16667"/>
          </a:avLst>
        </a:prstGeom>
        <a:solidFill>
          <a:schemeClr val="accent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1">
              <a:solidFill>
                <a:schemeClr val="bg1"/>
              </a:solidFill>
            </a:rPr>
            <a:t>Change Threat Libtrary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457200</xdr:colOff>
          <xdr:row>17</xdr:row>
          <xdr:rowOff>0</xdr:rowOff>
        </xdr:from>
        <xdr:to>
          <xdr:col>22</xdr:col>
          <xdr:colOff>600075</xdr:colOff>
          <xdr:row>17</xdr:row>
          <xdr:rowOff>219075</xdr:rowOff>
        </xdr:to>
        <xdr:sp macro="" textlink="">
          <xdr:nvSpPr>
            <xdr:cNvPr id="2135" name="Drop Down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57150</xdr:colOff>
      <xdr:row>15</xdr:row>
      <xdr:rowOff>85725</xdr:rowOff>
    </xdr:from>
    <xdr:to>
      <xdr:col>20</xdr:col>
      <xdr:colOff>523131</xdr:colOff>
      <xdr:row>24</xdr:row>
      <xdr:rowOff>9352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62750" y="2514600"/>
          <a:ext cx="5952381" cy="13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0</xdr:col>
      <xdr:colOff>295276</xdr:colOff>
      <xdr:row>13</xdr:row>
      <xdr:rowOff>114300</xdr:rowOff>
    </xdr:from>
    <xdr:to>
      <xdr:col>7</xdr:col>
      <xdr:colOff>180976</xdr:colOff>
      <xdr:row>20</xdr:row>
      <xdr:rowOff>120876</xdr:rowOff>
    </xdr:to>
    <xdr:pic>
      <xdr:nvPicPr>
        <xdr:cNvPr id="4" name="Picture 3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30419"/>
        <a:stretch/>
      </xdr:blipFill>
      <xdr:spPr>
        <a:xfrm>
          <a:off x="295276" y="2219325"/>
          <a:ext cx="4152900" cy="114005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17</xdr:col>
      <xdr:colOff>390525</xdr:colOff>
      <xdr:row>10</xdr:row>
      <xdr:rowOff>95250</xdr:rowOff>
    </xdr:from>
    <xdr:to>
      <xdr:col>20</xdr:col>
      <xdr:colOff>495300</xdr:colOff>
      <xdr:row>15</xdr:row>
      <xdr:rowOff>19050</xdr:rowOff>
    </xdr:to>
    <xdr:sp macro="" textlink="">
      <xdr:nvSpPr>
        <xdr:cNvPr id="5" name="Rounded Rectangular Callout 4"/>
        <xdr:cNvSpPr/>
      </xdr:nvSpPr>
      <xdr:spPr bwMode="auto">
        <a:xfrm>
          <a:off x="10753725" y="1714500"/>
          <a:ext cx="1933575" cy="733425"/>
        </a:xfrm>
        <a:prstGeom prst="wedgeRoundRectCallout">
          <a:avLst>
            <a:gd name="adj1" fmla="val 26541"/>
            <a:gd name="adj2" fmla="val 199700"/>
            <a:gd name="adj3" fmla="val 16667"/>
          </a:avLst>
        </a:prstGeom>
        <a:solidFill>
          <a:schemeClr val="accent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1">
              <a:solidFill>
                <a:schemeClr val="bg1"/>
              </a:solidFill>
            </a:rPr>
            <a:t>You may also manually assign  the aircraft</a:t>
          </a:r>
          <a:r>
            <a:rPr lang="en-US" sz="1100" b="1" baseline="0">
              <a:solidFill>
                <a:schemeClr val="bg1"/>
              </a:solidFill>
            </a:rPr>
            <a:t>  to missions and design new missions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2</xdr:col>
      <xdr:colOff>266700</xdr:colOff>
      <xdr:row>31</xdr:row>
      <xdr:rowOff>38100</xdr:rowOff>
    </xdr:from>
    <xdr:to>
      <xdr:col>10</xdr:col>
      <xdr:colOff>395150</xdr:colOff>
      <xdr:row>39</xdr:row>
      <xdr:rowOff>150998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85900" y="5057775"/>
          <a:ext cx="5005250" cy="140829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0</xdr:col>
      <xdr:colOff>304800</xdr:colOff>
      <xdr:row>27</xdr:row>
      <xdr:rowOff>19050</xdr:rowOff>
    </xdr:from>
    <xdr:to>
      <xdr:col>3</xdr:col>
      <xdr:colOff>371475</xdr:colOff>
      <xdr:row>29</xdr:row>
      <xdr:rowOff>142875</xdr:rowOff>
    </xdr:to>
    <xdr:sp macro="" textlink="">
      <xdr:nvSpPr>
        <xdr:cNvPr id="8" name="Rounded Rectangular Callout 7"/>
        <xdr:cNvSpPr/>
      </xdr:nvSpPr>
      <xdr:spPr bwMode="auto">
        <a:xfrm>
          <a:off x="304800" y="4391025"/>
          <a:ext cx="1895475" cy="447675"/>
        </a:xfrm>
        <a:prstGeom prst="wedgeRoundRectCallout">
          <a:avLst>
            <a:gd name="adj1" fmla="val 44149"/>
            <a:gd name="adj2" fmla="val 179630"/>
            <a:gd name="adj3" fmla="val 16667"/>
          </a:avLst>
        </a:prstGeom>
        <a:solidFill>
          <a:schemeClr val="accent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1">
              <a:solidFill>
                <a:schemeClr val="bg1"/>
              </a:solidFill>
            </a:rPr>
            <a:t>Scroll through "Average"</a:t>
          </a:r>
          <a:r>
            <a:rPr lang="en-US" sz="1100" b="1" baseline="0">
              <a:solidFill>
                <a:schemeClr val="bg1"/>
              </a:solidFill>
            </a:rPr>
            <a:t> and </a:t>
          </a:r>
          <a:r>
            <a:rPr lang="en-US" sz="1100" b="1">
              <a:solidFill>
                <a:schemeClr val="bg1"/>
              </a:solidFill>
            </a:rPr>
            <a:t> individual scenarios here. </a:t>
          </a:r>
        </a:p>
      </xdr:txBody>
    </xdr:sp>
    <xdr:clientData/>
  </xdr:twoCellAnchor>
  <xdr:twoCellAnchor>
    <xdr:from>
      <xdr:col>0</xdr:col>
      <xdr:colOff>228600</xdr:colOff>
      <xdr:row>36</xdr:row>
      <xdr:rowOff>104775</xdr:rowOff>
    </xdr:from>
    <xdr:to>
      <xdr:col>2</xdr:col>
      <xdr:colOff>552450</xdr:colOff>
      <xdr:row>39</xdr:row>
      <xdr:rowOff>66675</xdr:rowOff>
    </xdr:to>
    <xdr:sp macro="" textlink="">
      <xdr:nvSpPr>
        <xdr:cNvPr id="9" name="Rounded Rectangular Callout 8"/>
        <xdr:cNvSpPr/>
      </xdr:nvSpPr>
      <xdr:spPr bwMode="auto">
        <a:xfrm>
          <a:off x="228600" y="5934075"/>
          <a:ext cx="1543050" cy="447675"/>
        </a:xfrm>
        <a:prstGeom prst="wedgeRoundRectCallout">
          <a:avLst>
            <a:gd name="adj1" fmla="val 79194"/>
            <a:gd name="adj2" fmla="val 41333"/>
            <a:gd name="adj3" fmla="val 16667"/>
          </a:avLst>
        </a:prstGeom>
        <a:solidFill>
          <a:schemeClr val="accent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1">
              <a:solidFill>
                <a:schemeClr val="bg1"/>
              </a:solidFill>
            </a:rPr>
            <a:t>Shortfalls, total</a:t>
          </a:r>
          <a:r>
            <a:rPr lang="en-US" sz="1100" b="1" baseline="0">
              <a:solidFill>
                <a:schemeClr val="bg1"/>
              </a:solidFill>
            </a:rPr>
            <a:t> and by region appear here.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200025</xdr:colOff>
      <xdr:row>8</xdr:row>
      <xdr:rowOff>95251</xdr:rowOff>
    </xdr:from>
    <xdr:to>
      <xdr:col>7</xdr:col>
      <xdr:colOff>304800</xdr:colOff>
      <xdr:row>11</xdr:row>
      <xdr:rowOff>66676</xdr:rowOff>
    </xdr:to>
    <xdr:sp macro="" textlink="">
      <xdr:nvSpPr>
        <xdr:cNvPr id="10" name="Rounded Rectangular Callout 9"/>
        <xdr:cNvSpPr/>
      </xdr:nvSpPr>
      <xdr:spPr bwMode="auto">
        <a:xfrm>
          <a:off x="2638425" y="1390651"/>
          <a:ext cx="1933575" cy="457200"/>
        </a:xfrm>
        <a:prstGeom prst="wedgeRoundRectCallout">
          <a:avLst>
            <a:gd name="adj1" fmla="val 27034"/>
            <a:gd name="adj2" fmla="val 127053"/>
            <a:gd name="adj3" fmla="val 16667"/>
          </a:avLst>
        </a:prstGeom>
        <a:solidFill>
          <a:schemeClr val="accent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1">
              <a:solidFill>
                <a:schemeClr val="bg1"/>
              </a:solidFill>
            </a:rPr>
            <a:t>You may manually assign  the aircraft</a:t>
          </a:r>
          <a:r>
            <a:rPr lang="en-US" sz="1100" b="1" baseline="0">
              <a:solidFill>
                <a:schemeClr val="bg1"/>
              </a:solidFill>
            </a:rPr>
            <a:t>  to deployments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276225</xdr:colOff>
      <xdr:row>0</xdr:row>
      <xdr:rowOff>28575</xdr:rowOff>
    </xdr:from>
    <xdr:to>
      <xdr:col>10</xdr:col>
      <xdr:colOff>114300</xdr:colOff>
      <xdr:row>8</xdr:row>
      <xdr:rowOff>104775</xdr:rowOff>
    </xdr:to>
    <xdr:pic>
      <xdr:nvPicPr>
        <xdr:cNvPr id="11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5" y="28575"/>
          <a:ext cx="59340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276225</xdr:colOff>
      <xdr:row>21</xdr:row>
      <xdr:rowOff>114300</xdr:rowOff>
    </xdr:from>
    <xdr:to>
      <xdr:col>10</xdr:col>
      <xdr:colOff>114300</xdr:colOff>
      <xdr:row>26</xdr:row>
      <xdr:rowOff>152400</xdr:rowOff>
    </xdr:to>
    <xdr:pic>
      <xdr:nvPicPr>
        <xdr:cNvPr id="12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5" y="3514725"/>
          <a:ext cx="5934075" cy="847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57150</xdr:colOff>
      <xdr:row>3</xdr:row>
      <xdr:rowOff>38100</xdr:rowOff>
    </xdr:from>
    <xdr:to>
      <xdr:col>20</xdr:col>
      <xdr:colOff>504825</xdr:colOff>
      <xdr:row>9</xdr:row>
      <xdr:rowOff>85725</xdr:rowOff>
    </xdr:to>
    <xdr:pic>
      <xdr:nvPicPr>
        <xdr:cNvPr id="15" name="Picture 14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50" y="523875"/>
          <a:ext cx="5934075" cy="1019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171450</xdr:colOff>
      <xdr:row>61</xdr:row>
      <xdr:rowOff>142875</xdr:rowOff>
    </xdr:from>
    <xdr:to>
      <xdr:col>28</xdr:col>
      <xdr:colOff>266700</xdr:colOff>
      <xdr:row>63</xdr:row>
      <xdr:rowOff>38100</xdr:rowOff>
    </xdr:to>
    <xdr:sp macro="" textlink="">
      <xdr:nvSpPr>
        <xdr:cNvPr id="1044" name="Text Box 3"/>
        <xdr:cNvSpPr txBox="1">
          <a:spLocks noChangeArrowheads="1"/>
        </xdr:cNvSpPr>
      </xdr:nvSpPr>
      <xdr:spPr bwMode="auto">
        <a:xfrm>
          <a:off x="17792700" y="10982325"/>
          <a:ext cx="9525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11</xdr:col>
      <xdr:colOff>266699</xdr:colOff>
      <xdr:row>8</xdr:row>
      <xdr:rowOff>359569</xdr:rowOff>
    </xdr:from>
    <xdr:to>
      <xdr:col>21</xdr:col>
      <xdr:colOff>385761</xdr:colOff>
      <xdr:row>35</xdr:row>
      <xdr:rowOff>73819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614363</xdr:colOff>
      <xdr:row>10</xdr:row>
      <xdr:rowOff>95250</xdr:rowOff>
    </xdr:from>
    <xdr:to>
      <xdr:col>0</xdr:col>
      <xdr:colOff>1695928</xdr:colOff>
      <xdr:row>13</xdr:row>
      <xdr:rowOff>121807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 t="10503" r="12856"/>
        <a:stretch>
          <a:fillRect/>
        </a:stretch>
      </xdr:blipFill>
      <xdr:spPr>
        <a:xfrm>
          <a:off x="614363" y="2619375"/>
          <a:ext cx="1081565" cy="526619"/>
        </a:xfrm>
        <a:prstGeom prst="rect">
          <a:avLst/>
        </a:prstGeom>
      </xdr:spPr>
    </xdr:pic>
    <xdr:clientData/>
  </xdr:twoCellAnchor>
  <xdr:twoCellAnchor editAs="oneCell">
    <xdr:from>
      <xdr:col>0</xdr:col>
      <xdr:colOff>309562</xdr:colOff>
      <xdr:row>17</xdr:row>
      <xdr:rowOff>21018</xdr:rowOff>
    </xdr:from>
    <xdr:to>
      <xdr:col>2</xdr:col>
      <xdr:colOff>98417</xdr:colOff>
      <xdr:row>21</xdr:row>
      <xdr:rowOff>89151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3" cstate="print"/>
        <a:srcRect t="9014" r="10034" b="23885"/>
        <a:stretch>
          <a:fillRect/>
        </a:stretch>
      </xdr:blipFill>
      <xdr:spPr>
        <a:xfrm flipH="1">
          <a:off x="309562" y="3521456"/>
          <a:ext cx="2065330" cy="734883"/>
        </a:xfrm>
        <a:prstGeom prst="rect">
          <a:avLst/>
        </a:prstGeom>
      </xdr:spPr>
    </xdr:pic>
    <xdr:clientData/>
  </xdr:twoCellAnchor>
  <xdr:twoCellAnchor editAs="oneCell">
    <xdr:from>
      <xdr:col>0</xdr:col>
      <xdr:colOff>83344</xdr:colOff>
      <xdr:row>28</xdr:row>
      <xdr:rowOff>1209</xdr:rowOff>
    </xdr:from>
    <xdr:to>
      <xdr:col>2</xdr:col>
      <xdr:colOff>545300</xdr:colOff>
      <xdr:row>33</xdr:row>
      <xdr:rowOff>24970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4" cstate="print"/>
        <a:srcRect l="3275" t="8178" r="5010" b="10591"/>
        <a:stretch>
          <a:fillRect/>
        </a:stretch>
      </xdr:blipFill>
      <xdr:spPr>
        <a:xfrm flipH="1">
          <a:off x="83344" y="5525709"/>
          <a:ext cx="2738431" cy="857198"/>
        </a:xfrm>
        <a:prstGeom prst="rect">
          <a:avLst/>
        </a:prstGeom>
      </xdr:spPr>
    </xdr:pic>
    <xdr:clientData/>
  </xdr:twoCellAnchor>
  <xdr:twoCellAnchor>
    <xdr:from>
      <xdr:col>18</xdr:col>
      <xdr:colOff>226219</xdr:colOff>
      <xdr:row>11</xdr:row>
      <xdr:rowOff>107155</xdr:rowOff>
    </xdr:from>
    <xdr:to>
      <xdr:col>21</xdr:col>
      <xdr:colOff>440531</xdr:colOff>
      <xdr:row>21</xdr:row>
      <xdr:rowOff>142876</xdr:rowOff>
    </xdr:to>
    <xdr:graphicFrame macro="">
      <xdr:nvGraphicFramePr>
        <xdr:cNvPr id="16" name="Chart DistoGram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219075</xdr:colOff>
      <xdr:row>5</xdr:row>
      <xdr:rowOff>114300</xdr:rowOff>
    </xdr:from>
    <xdr:to>
      <xdr:col>7</xdr:col>
      <xdr:colOff>276225</xdr:colOff>
      <xdr:row>7</xdr:row>
      <xdr:rowOff>57150</xdr:rowOff>
    </xdr:to>
    <xdr:sp macro="" textlink="">
      <xdr:nvSpPr>
        <xdr:cNvPr id="9" name="Rounded Rectangular Callout 8"/>
        <xdr:cNvSpPr/>
      </xdr:nvSpPr>
      <xdr:spPr bwMode="auto">
        <a:xfrm>
          <a:off x="3933825" y="981075"/>
          <a:ext cx="1924050" cy="333375"/>
        </a:xfrm>
        <a:prstGeom prst="wedgeRoundRectCallout">
          <a:avLst>
            <a:gd name="adj1" fmla="val 38515"/>
            <a:gd name="adj2" fmla="val 205327"/>
            <a:gd name="adj3" fmla="val 16667"/>
          </a:avLst>
        </a:prstGeom>
        <a:solidFill>
          <a:schemeClr val="accent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1" baseline="0">
              <a:solidFill>
                <a:schemeClr val="bg1"/>
              </a:solidFill>
            </a:rPr>
            <a:t>Design new deployments here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438150</xdr:colOff>
      <xdr:row>2</xdr:row>
      <xdr:rowOff>180975</xdr:rowOff>
    </xdr:from>
    <xdr:to>
      <xdr:col>3</xdr:col>
      <xdr:colOff>457200</xdr:colOff>
      <xdr:row>5</xdr:row>
      <xdr:rowOff>0</xdr:rowOff>
    </xdr:to>
    <xdr:sp macro="" textlink="">
      <xdr:nvSpPr>
        <xdr:cNvPr id="13" name="Rounded Rectangular Callout 12"/>
        <xdr:cNvSpPr/>
      </xdr:nvSpPr>
      <xdr:spPr bwMode="auto">
        <a:xfrm>
          <a:off x="2143125" y="476250"/>
          <a:ext cx="1276350" cy="390525"/>
        </a:xfrm>
        <a:prstGeom prst="wedgeRoundRectCallout">
          <a:avLst>
            <a:gd name="adj1" fmla="val 126001"/>
            <a:gd name="adj2" fmla="val 290356"/>
            <a:gd name="adj3" fmla="val 16667"/>
          </a:avLst>
        </a:prstGeom>
        <a:solidFill>
          <a:schemeClr val="accent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1" baseline="0">
              <a:solidFill>
                <a:schemeClr val="bg1"/>
              </a:solidFill>
            </a:rPr>
            <a:t>Manually assign aircraft here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133350</xdr:colOff>
          <xdr:row>37</xdr:row>
          <xdr:rowOff>28575</xdr:rowOff>
        </xdr:from>
        <xdr:to>
          <xdr:col>21</xdr:col>
          <xdr:colOff>409575</xdr:colOff>
          <xdr:row>38</xdr:row>
          <xdr:rowOff>76200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S Sans Serif"/>
                </a:rPr>
                <a:t>Graph Reset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600075</xdr:colOff>
          <xdr:row>1</xdr:row>
          <xdr:rowOff>0</xdr:rowOff>
        </xdr:from>
        <xdr:to>
          <xdr:col>20</xdr:col>
          <xdr:colOff>419100</xdr:colOff>
          <xdr:row>2</xdr:row>
          <xdr:rowOff>28575</xdr:rowOff>
        </xdr:to>
        <xdr:sp macro="" textlink="">
          <xdr:nvSpPr>
            <xdr:cNvPr id="1091" name="Drop Dow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3</xdr:row>
          <xdr:rowOff>38100</xdr:rowOff>
        </xdr:from>
        <xdr:to>
          <xdr:col>9</xdr:col>
          <xdr:colOff>19050</xdr:colOff>
          <xdr:row>4</xdr:row>
          <xdr:rowOff>9525</xdr:rowOff>
        </xdr:to>
        <xdr:sp macro="" textlink="">
          <xdr:nvSpPr>
            <xdr:cNvPr id="1093" name="Scroll Bar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INSIGHT%202/exercises/done/Ch%208/Ex%208.14%20Solver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rcise 8.14 ab"/>
      <sheetName val="8.14 d (i)"/>
      <sheetName val=" 8.14 d (ii)"/>
      <sheetName val=" 8.14 d (iii)"/>
      <sheetName val="The Point"/>
    </sheetNames>
    <sheetDataSet>
      <sheetData sheetId="0"/>
      <sheetData sheetId="1">
        <row r="11">
          <cell r="E11">
            <v>1440</v>
          </cell>
        </row>
      </sheetData>
      <sheetData sheetId="2">
        <row r="11">
          <cell r="I11">
            <v>6.4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L39"/>
  <sheetViews>
    <sheetView showRowColHeaders="0" tabSelected="1" workbookViewId="0">
      <selection activeCell="T41" sqref="T41"/>
    </sheetView>
  </sheetViews>
  <sheetFormatPr defaultRowHeight="12.75" x14ac:dyDescent="0.2"/>
  <cols>
    <col min="1" max="16384" width="9.140625" style="26"/>
  </cols>
  <sheetData>
    <row r="39" spans="12:12" x14ac:dyDescent="0.2">
      <c r="L39" s="64" t="s">
        <v>80</v>
      </c>
    </row>
  </sheetData>
  <sheetProtection password="CA49" sheet="1" objects="1" scenarios="1" selectLockedCells="1" selectUn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I8:Z32"/>
  <sheetViews>
    <sheetView showRowColHeaders="0" zoomScaleNormal="100" workbookViewId="0">
      <selection activeCell="F27" sqref="F27"/>
    </sheetView>
  </sheetViews>
  <sheetFormatPr defaultRowHeight="12.75" x14ac:dyDescent="0.2"/>
  <cols>
    <col min="1" max="1" width="2.85546875" style="27" customWidth="1"/>
    <col min="2" max="2" width="9" style="27" customWidth="1"/>
    <col min="3" max="3" width="10.28515625" style="27" customWidth="1"/>
    <col min="4" max="13" width="9.140625" style="27"/>
    <col min="14" max="14" width="2.140625" style="27" customWidth="1"/>
    <col min="15" max="15" width="1" style="27" customWidth="1"/>
    <col min="16" max="16" width="11.42578125" style="27" customWidth="1"/>
    <col min="17" max="17" width="6" style="27" customWidth="1"/>
    <col min="18" max="18" width="8.140625" style="27" customWidth="1"/>
    <col min="19" max="22" width="6" style="27" customWidth="1"/>
    <col min="23" max="16384" width="9.140625" style="27"/>
  </cols>
  <sheetData>
    <row r="8" spans="9:22" ht="20.25" thickBot="1" x14ac:dyDescent="0.4">
      <c r="I8" s="48" t="s">
        <v>38</v>
      </c>
      <c r="P8" s="49" t="s">
        <v>27</v>
      </c>
      <c r="R8" s="26"/>
      <c r="S8" s="26"/>
      <c r="T8" s="26"/>
      <c r="U8" s="26"/>
    </row>
    <row r="9" spans="9:22" ht="14.25" customHeight="1" x14ac:dyDescent="0.25">
      <c r="I9" s="31" t="s">
        <v>14</v>
      </c>
      <c r="J9" s="28"/>
      <c r="K9" s="28"/>
      <c r="L9" s="28"/>
      <c r="M9" s="22"/>
      <c r="P9" s="50" t="s">
        <v>39</v>
      </c>
      <c r="Q9" s="51"/>
      <c r="R9" s="28"/>
      <c r="S9" s="28"/>
      <c r="T9" s="28"/>
      <c r="U9" s="28"/>
      <c r="V9" s="52"/>
    </row>
    <row r="10" spans="9:22" ht="14.25" customHeight="1" x14ac:dyDescent="0.2">
      <c r="I10" s="5"/>
      <c r="L10" s="26"/>
      <c r="M10" s="23"/>
      <c r="P10" s="56" t="s">
        <v>21</v>
      </c>
      <c r="Q10" s="54" t="s">
        <v>0</v>
      </c>
      <c r="R10" s="54" t="s">
        <v>1</v>
      </c>
      <c r="S10" s="54" t="s">
        <v>2</v>
      </c>
      <c r="T10" s="54" t="s">
        <v>3</v>
      </c>
      <c r="U10" s="54" t="s">
        <v>4</v>
      </c>
      <c r="V10" s="55" t="s">
        <v>5</v>
      </c>
    </row>
    <row r="11" spans="9:22" ht="14.25" customHeight="1" x14ac:dyDescent="0.2">
      <c r="I11" s="5"/>
      <c r="L11" s="26"/>
      <c r="M11" s="23"/>
      <c r="P11" s="56" t="s">
        <v>22</v>
      </c>
      <c r="Q11" s="72">
        <v>20</v>
      </c>
      <c r="R11" s="72">
        <v>0</v>
      </c>
      <c r="S11" s="72">
        <v>4</v>
      </c>
      <c r="T11" s="72">
        <v>3</v>
      </c>
      <c r="U11" s="72">
        <v>14</v>
      </c>
      <c r="V11" s="73">
        <v>20</v>
      </c>
    </row>
    <row r="12" spans="9:22" ht="14.25" customHeight="1" x14ac:dyDescent="0.2">
      <c r="I12" s="5"/>
      <c r="M12" s="23"/>
      <c r="P12" s="56" t="s">
        <v>23</v>
      </c>
      <c r="Q12" s="72">
        <v>20</v>
      </c>
      <c r="R12" s="72">
        <v>0</v>
      </c>
      <c r="S12" s="72">
        <v>5</v>
      </c>
      <c r="T12" s="72">
        <v>2</v>
      </c>
      <c r="U12" s="72">
        <v>14</v>
      </c>
      <c r="V12" s="73">
        <v>8</v>
      </c>
    </row>
    <row r="13" spans="9:22" ht="14.25" customHeight="1" x14ac:dyDescent="0.2">
      <c r="I13" s="5"/>
      <c r="M13" s="23"/>
      <c r="P13" s="56" t="s">
        <v>24</v>
      </c>
      <c r="Q13" s="72">
        <v>10</v>
      </c>
      <c r="R13" s="74">
        <v>10</v>
      </c>
      <c r="S13" s="72">
        <v>3</v>
      </c>
      <c r="T13" s="72">
        <v>4</v>
      </c>
      <c r="U13" s="72">
        <v>16</v>
      </c>
      <c r="V13" s="75">
        <v>11</v>
      </c>
    </row>
    <row r="14" spans="9:22" ht="14.25" customHeight="1" x14ac:dyDescent="0.25">
      <c r="I14" s="5"/>
      <c r="J14" s="32">
        <v>20</v>
      </c>
      <c r="K14" s="32" t="s">
        <v>36</v>
      </c>
      <c r="M14" s="23"/>
      <c r="P14" s="56" t="s">
        <v>25</v>
      </c>
      <c r="Q14" s="72">
        <v>0</v>
      </c>
      <c r="R14" s="72">
        <v>20</v>
      </c>
      <c r="S14" s="72">
        <v>4</v>
      </c>
      <c r="T14" s="72">
        <v>2</v>
      </c>
      <c r="U14" s="72">
        <v>14</v>
      </c>
      <c r="V14" s="75">
        <v>13</v>
      </c>
    </row>
    <row r="15" spans="9:22" ht="14.25" customHeight="1" thickBot="1" x14ac:dyDescent="0.3">
      <c r="I15" s="30" t="s">
        <v>20</v>
      </c>
      <c r="M15" s="25"/>
      <c r="P15" s="57" t="s">
        <v>26</v>
      </c>
      <c r="Q15" s="76">
        <v>0</v>
      </c>
      <c r="R15" s="76">
        <v>20</v>
      </c>
      <c r="S15" s="76">
        <v>4</v>
      </c>
      <c r="T15" s="76">
        <v>4</v>
      </c>
      <c r="U15" s="76">
        <v>17</v>
      </c>
      <c r="V15" s="77">
        <v>18</v>
      </c>
    </row>
    <row r="16" spans="9:22" ht="18.75" customHeight="1" x14ac:dyDescent="0.2">
      <c r="I16" s="5"/>
      <c r="M16" s="23"/>
    </row>
    <row r="17" spans="9:26" ht="18" customHeight="1" x14ac:dyDescent="0.2">
      <c r="I17" s="5"/>
      <c r="M17" s="23"/>
    </row>
    <row r="18" spans="9:26" x14ac:dyDescent="0.2">
      <c r="I18" s="5"/>
      <c r="M18" s="23"/>
    </row>
    <row r="19" spans="9:26" ht="13.5" customHeight="1" x14ac:dyDescent="0.2">
      <c r="I19" s="5"/>
      <c r="M19" s="23"/>
    </row>
    <row r="20" spans="9:26" x14ac:dyDescent="0.2">
      <c r="I20" s="5"/>
      <c r="M20" s="23"/>
    </row>
    <row r="21" spans="9:26" x14ac:dyDescent="0.2">
      <c r="I21" s="5"/>
      <c r="M21" s="23"/>
    </row>
    <row r="22" spans="9:26" ht="15.75" x14ac:dyDescent="0.25">
      <c r="I22" s="5"/>
      <c r="J22" s="32">
        <v>15</v>
      </c>
      <c r="K22" s="32" t="s">
        <v>36</v>
      </c>
      <c r="M22" s="7"/>
    </row>
    <row r="23" spans="9:26" x14ac:dyDescent="0.2">
      <c r="I23" s="5"/>
      <c r="M23" s="25"/>
    </row>
    <row r="24" spans="9:26" ht="15.75" x14ac:dyDescent="0.25">
      <c r="I24" s="30" t="s">
        <v>16</v>
      </c>
      <c r="M24" s="23"/>
    </row>
    <row r="25" spans="9:26" x14ac:dyDescent="0.2">
      <c r="I25" s="5"/>
      <c r="M25" s="23"/>
    </row>
    <row r="26" spans="9:26" x14ac:dyDescent="0.2">
      <c r="I26" s="5"/>
      <c r="M26" s="23"/>
      <c r="W26" s="58"/>
    </row>
    <row r="27" spans="9:26" ht="15.75" x14ac:dyDescent="0.25">
      <c r="I27" s="5"/>
      <c r="M27" s="23"/>
      <c r="Q27" s="32"/>
    </row>
    <row r="28" spans="9:26" x14ac:dyDescent="0.2">
      <c r="I28" s="5"/>
      <c r="M28" s="23"/>
      <c r="Q28" s="58"/>
      <c r="R28" s="58"/>
      <c r="S28" s="58"/>
      <c r="T28" s="58"/>
      <c r="U28" s="58"/>
      <c r="V28" s="58"/>
      <c r="W28" s="59"/>
    </row>
    <row r="29" spans="9:26" x14ac:dyDescent="0.2">
      <c r="I29" s="5"/>
      <c r="M29" s="23"/>
      <c r="W29" s="58"/>
      <c r="X29" s="58"/>
      <c r="Y29" s="58"/>
      <c r="Z29" s="58"/>
    </row>
    <row r="30" spans="9:26" x14ac:dyDescent="0.2">
      <c r="I30" s="5"/>
      <c r="M30" s="23"/>
    </row>
    <row r="31" spans="9:26" ht="15.75" x14ac:dyDescent="0.25">
      <c r="I31" s="5"/>
      <c r="J31" s="32">
        <v>4</v>
      </c>
      <c r="K31" s="32" t="s">
        <v>36</v>
      </c>
      <c r="M31" s="23"/>
    </row>
    <row r="32" spans="9:26" ht="13.5" thickBot="1" x14ac:dyDescent="0.25">
      <c r="I32" s="9"/>
      <c r="J32" s="29"/>
      <c r="K32" s="29"/>
      <c r="L32" s="29"/>
      <c r="M32" s="24"/>
    </row>
  </sheetData>
  <sheetProtection password="CA49" sheet="1" objects="1" scenarios="1" selectLockedCells="1" selectUnlockedCell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4:AI54"/>
  <sheetViews>
    <sheetView zoomScaleNormal="100" workbookViewId="0">
      <selection activeCell="W32" sqref="W32"/>
    </sheetView>
  </sheetViews>
  <sheetFormatPr defaultRowHeight="12.75" x14ac:dyDescent="0.2"/>
  <cols>
    <col min="1" max="1" width="2.7109375" style="26" customWidth="1"/>
    <col min="2" max="2" width="9" style="26" customWidth="1"/>
    <col min="3" max="3" width="10.28515625" style="26" customWidth="1"/>
    <col min="4" max="10" width="9.140625" style="26"/>
    <col min="11" max="11" width="10.140625" style="26" customWidth="1"/>
    <col min="12" max="13" width="9.140625" style="26"/>
    <col min="14" max="14" width="9.140625" style="26" customWidth="1"/>
    <col min="15" max="15" width="4" style="26" customWidth="1"/>
    <col min="16" max="16" width="11.42578125" style="26" customWidth="1"/>
    <col min="17" max="17" width="6" style="26" customWidth="1"/>
    <col min="18" max="18" width="12.5703125" style="26" customWidth="1"/>
    <col min="19" max="21" width="6" style="26" customWidth="1"/>
    <col min="22" max="22" width="7.42578125" style="26" customWidth="1"/>
    <col min="23" max="23" width="9.140625" style="26"/>
    <col min="24" max="24" width="8" style="26" customWidth="1"/>
    <col min="25" max="16384" width="9.140625" style="26"/>
  </cols>
  <sheetData>
    <row r="4" spans="2:35" x14ac:dyDescent="0.2">
      <c r="AI4" s="64" t="s">
        <v>31</v>
      </c>
    </row>
    <row r="5" spans="2:35" x14ac:dyDescent="0.2">
      <c r="AI5" s="64" t="s">
        <v>32</v>
      </c>
    </row>
    <row r="7" spans="2:35" ht="13.5" thickBot="1" x14ac:dyDescent="0.25"/>
    <row r="8" spans="2:35" ht="18" x14ac:dyDescent="0.25">
      <c r="J8" s="60"/>
      <c r="K8" s="61" t="s">
        <v>37</v>
      </c>
      <c r="L8" s="62"/>
      <c r="M8" s="63" t="s">
        <v>29</v>
      </c>
      <c r="N8" s="4"/>
    </row>
    <row r="9" spans="2:35" ht="20.25" x14ac:dyDescent="0.4">
      <c r="J9" s="53"/>
      <c r="K9" s="79">
        <f>'Detailed Model'!T7</f>
        <v>1300</v>
      </c>
      <c r="L9" s="65"/>
      <c r="M9" s="80">
        <f>'Detailed Model'!V7</f>
        <v>13.6</v>
      </c>
      <c r="N9" s="7"/>
    </row>
    <row r="10" spans="2:35" ht="13.5" thickBot="1" x14ac:dyDescent="0.25">
      <c r="J10" s="66"/>
      <c r="K10" s="29"/>
      <c r="L10" s="67"/>
      <c r="M10" s="68"/>
      <c r="N10" s="11"/>
    </row>
    <row r="11" spans="2:35" ht="15.75" x14ac:dyDescent="0.25">
      <c r="B11" s="31" t="s">
        <v>14</v>
      </c>
      <c r="C11" s="28"/>
      <c r="D11" s="28"/>
      <c r="E11" s="28"/>
      <c r="F11" s="22"/>
    </row>
    <row r="12" spans="2:35" x14ac:dyDescent="0.2">
      <c r="B12" s="5"/>
      <c r="C12" s="27"/>
      <c r="D12" s="27"/>
      <c r="F12" s="23"/>
    </row>
    <row r="13" spans="2:35" x14ac:dyDescent="0.2">
      <c r="B13" s="5"/>
      <c r="C13" s="27"/>
      <c r="D13" s="27"/>
      <c r="F13" s="23"/>
    </row>
    <row r="14" spans="2:35" x14ac:dyDescent="0.2">
      <c r="B14" s="5"/>
      <c r="C14" s="27"/>
      <c r="D14" s="27"/>
      <c r="E14" s="27"/>
      <c r="F14" s="23"/>
    </row>
    <row r="15" spans="2:35" x14ac:dyDescent="0.2">
      <c r="B15" s="5"/>
      <c r="C15" s="27"/>
      <c r="D15" s="27"/>
      <c r="E15" s="27"/>
      <c r="F15" s="23"/>
      <c r="T15" s="64"/>
    </row>
    <row r="16" spans="2:35" ht="19.5" x14ac:dyDescent="0.4">
      <c r="B16" s="5"/>
      <c r="C16" s="32" t="s">
        <v>33</v>
      </c>
      <c r="D16" s="33"/>
      <c r="E16" s="81">
        <f>'Detailed Model'!E13</f>
        <v>6</v>
      </c>
      <c r="F16" s="23"/>
    </row>
    <row r="17" spans="2:26" x14ac:dyDescent="0.2">
      <c r="B17" s="5"/>
      <c r="C17" s="27"/>
      <c r="D17" s="27"/>
      <c r="E17" s="82"/>
      <c r="F17" s="25"/>
    </row>
    <row r="18" spans="2:26" ht="20.25" thickBot="1" x14ac:dyDescent="0.4">
      <c r="B18" s="30" t="s">
        <v>20</v>
      </c>
      <c r="C18" s="27"/>
      <c r="D18" s="27"/>
      <c r="E18" s="82"/>
      <c r="F18" s="23"/>
      <c r="R18" s="49" t="s">
        <v>41</v>
      </c>
      <c r="W18" s="78"/>
    </row>
    <row r="19" spans="2:26" x14ac:dyDescent="0.2">
      <c r="B19" s="5"/>
      <c r="C19" s="27"/>
      <c r="D19" s="27"/>
      <c r="E19" s="82"/>
      <c r="F19" s="23"/>
      <c r="R19" s="50" t="s">
        <v>28</v>
      </c>
      <c r="S19" s="51"/>
      <c r="T19" s="28"/>
      <c r="U19" s="28"/>
      <c r="V19" s="28"/>
      <c r="W19" s="28"/>
      <c r="X19" s="52"/>
    </row>
    <row r="20" spans="2:26" x14ac:dyDescent="0.2">
      <c r="B20" s="5"/>
      <c r="C20" s="27"/>
      <c r="D20" s="27"/>
      <c r="E20" s="82"/>
      <c r="F20" s="23"/>
      <c r="R20" s="53" t="s">
        <v>21</v>
      </c>
      <c r="S20" s="54" t="s">
        <v>0</v>
      </c>
      <c r="T20" s="54" t="s">
        <v>1</v>
      </c>
      <c r="U20" s="54" t="s">
        <v>2</v>
      </c>
      <c r="V20" s="54" t="s">
        <v>3</v>
      </c>
      <c r="W20" s="54" t="s">
        <v>4</v>
      </c>
      <c r="X20" s="55" t="s">
        <v>5</v>
      </c>
    </row>
    <row r="21" spans="2:26" x14ac:dyDescent="0.2">
      <c r="B21" s="5"/>
      <c r="C21" s="27"/>
      <c r="D21" s="27"/>
      <c r="E21" s="82"/>
      <c r="F21" s="23"/>
      <c r="R21" s="69" t="s">
        <v>22</v>
      </c>
      <c r="S21" s="121">
        <f>INDEX('Threat Libraries'!C6:I6,,(6*Threat-5))</f>
        <v>20</v>
      </c>
      <c r="T21" s="71">
        <f>INDEX('Threat Libraries'!D6:J6,,(6*Threat-5))</f>
        <v>0</v>
      </c>
      <c r="U21" s="71">
        <f>INDEX('Threat Libraries'!E6:K6,,(6*Threat-5))</f>
        <v>4</v>
      </c>
      <c r="V21" s="71">
        <f>INDEX('Threat Libraries'!F6:L6,,(6*Threat-5))</f>
        <v>3</v>
      </c>
      <c r="W21" s="71">
        <f>INDEX('Threat Libraries'!G6:M6,,(6*Threat-5))</f>
        <v>14</v>
      </c>
      <c r="X21" s="71">
        <f>INDEX('Threat Libraries'!H6:N6,,(6*Threat-5))</f>
        <v>20</v>
      </c>
    </row>
    <row r="22" spans="2:26" x14ac:dyDescent="0.2">
      <c r="B22" s="5"/>
      <c r="C22" s="27"/>
      <c r="D22" s="27"/>
      <c r="E22" s="82"/>
      <c r="F22" s="23"/>
      <c r="R22" s="53" t="s">
        <v>23</v>
      </c>
      <c r="S22" s="71">
        <f>INDEX('Threat Libraries'!C7:I7,,(6*Threat-5))</f>
        <v>20</v>
      </c>
      <c r="T22" s="71">
        <f>INDEX('Threat Libraries'!D7:J7,,(6*Threat-5))</f>
        <v>0</v>
      </c>
      <c r="U22" s="71">
        <f>INDEX('Threat Libraries'!E7:K7,,(6*Threat-5))</f>
        <v>5</v>
      </c>
      <c r="V22" s="71">
        <f>INDEX('Threat Libraries'!F7:L7,,(6*Threat-5))</f>
        <v>2</v>
      </c>
      <c r="W22" s="71">
        <f>INDEX('Threat Libraries'!G7:M7,,(6*Threat-5))</f>
        <v>14</v>
      </c>
      <c r="X22" s="71">
        <f>INDEX('Threat Libraries'!H7:N7,,(6*Threat-5))</f>
        <v>8</v>
      </c>
    </row>
    <row r="23" spans="2:26" x14ac:dyDescent="0.2">
      <c r="B23" s="5"/>
      <c r="C23" s="27"/>
      <c r="D23" s="27"/>
      <c r="E23" s="82"/>
      <c r="F23" s="23"/>
      <c r="R23" s="53" t="s">
        <v>24</v>
      </c>
      <c r="S23" s="71">
        <f>INDEX('Threat Libraries'!C8:I8,,(6*Threat-5))</f>
        <v>10</v>
      </c>
      <c r="T23" s="71">
        <f>INDEX('Threat Libraries'!D8:J8,,(6*Threat-5))</f>
        <v>10</v>
      </c>
      <c r="U23" s="71">
        <f>INDEX('Threat Libraries'!E8:K8,,(6*Threat-5))</f>
        <v>3</v>
      </c>
      <c r="V23" s="71">
        <f>INDEX('Threat Libraries'!F8:L8,,(6*Threat-5))</f>
        <v>4</v>
      </c>
      <c r="W23" s="71">
        <f>INDEX('Threat Libraries'!G8:M8,,(6*Threat-5))</f>
        <v>16</v>
      </c>
      <c r="X23" s="71">
        <f>INDEX('Threat Libraries'!H8:N8,,(6*Threat-5))</f>
        <v>11</v>
      </c>
    </row>
    <row r="24" spans="2:26" ht="19.5" x14ac:dyDescent="0.4">
      <c r="B24" s="5"/>
      <c r="C24" s="32" t="s">
        <v>33</v>
      </c>
      <c r="D24" s="33"/>
      <c r="E24" s="81">
        <f>'Detailed Model'!E19</f>
        <v>15</v>
      </c>
      <c r="F24" s="7"/>
      <c r="R24" s="53" t="s">
        <v>25</v>
      </c>
      <c r="S24" s="71">
        <f>INDEX('Threat Libraries'!C9:I9,,(6*Threat-5))</f>
        <v>0</v>
      </c>
      <c r="T24" s="71">
        <f>INDEX('Threat Libraries'!D9:J9,,(6*Threat-5))</f>
        <v>20</v>
      </c>
      <c r="U24" s="71">
        <f>INDEX('Threat Libraries'!E9:K9,,(6*Threat-5))</f>
        <v>4</v>
      </c>
      <c r="V24" s="71">
        <f>INDEX('Threat Libraries'!F9:L9,,(6*Threat-5))</f>
        <v>2</v>
      </c>
      <c r="W24" s="71">
        <f>INDEX('Threat Libraries'!G9:M9,,(6*Threat-5))</f>
        <v>14</v>
      </c>
      <c r="X24" s="71">
        <f>INDEX('Threat Libraries'!H9:N9,,(6*Threat-5))</f>
        <v>13</v>
      </c>
      <c r="Z24" s="70"/>
    </row>
    <row r="25" spans="2:26" x14ac:dyDescent="0.2">
      <c r="B25" s="5"/>
      <c r="C25" s="27"/>
      <c r="D25" s="27"/>
      <c r="E25" s="82"/>
      <c r="F25" s="25"/>
      <c r="R25" s="53" t="s">
        <v>26</v>
      </c>
      <c r="S25" s="71">
        <f>INDEX('Threat Libraries'!C10:I10,,(6*Threat-5))</f>
        <v>0</v>
      </c>
      <c r="T25" s="71">
        <f>INDEX('Threat Libraries'!D10:J10,,(6*Threat-5))</f>
        <v>20</v>
      </c>
      <c r="U25" s="71">
        <f>INDEX('Threat Libraries'!E10:K10,,(6*Threat-5))</f>
        <v>4</v>
      </c>
      <c r="V25" s="71">
        <f>INDEX('Threat Libraries'!F10:L10,,(6*Threat-5))</f>
        <v>4</v>
      </c>
      <c r="W25" s="71">
        <f>INDEX('Threat Libraries'!G10:M10,,(6*Threat-5))</f>
        <v>17</v>
      </c>
      <c r="X25" s="71">
        <f>INDEX('Threat Libraries'!H10:N10,,(6*Threat-5))</f>
        <v>18</v>
      </c>
    </row>
    <row r="26" spans="2:26" ht="16.5" thickBot="1" x14ac:dyDescent="0.3">
      <c r="B26" s="30" t="s">
        <v>16</v>
      </c>
      <c r="C26" s="27"/>
      <c r="D26" s="27"/>
      <c r="E26" s="82"/>
      <c r="F26" s="23"/>
      <c r="R26" s="66"/>
      <c r="S26" s="29"/>
      <c r="T26" s="29"/>
      <c r="U26" s="29"/>
      <c r="V26" s="29"/>
      <c r="W26" s="29"/>
      <c r="X26" s="120"/>
    </row>
    <row r="27" spans="2:26" x14ac:dyDescent="0.2">
      <c r="B27" s="5"/>
      <c r="C27" s="27"/>
      <c r="D27" s="27"/>
      <c r="E27" s="82"/>
      <c r="F27" s="23"/>
    </row>
    <row r="28" spans="2:26" x14ac:dyDescent="0.2">
      <c r="B28" s="5"/>
      <c r="C28" s="27"/>
      <c r="D28" s="27"/>
      <c r="E28" s="82"/>
      <c r="F28" s="23"/>
    </row>
    <row r="29" spans="2:26" x14ac:dyDescent="0.2">
      <c r="B29" s="5"/>
      <c r="C29" s="27"/>
      <c r="D29" s="27"/>
      <c r="E29" s="82"/>
      <c r="F29" s="23"/>
    </row>
    <row r="30" spans="2:26" x14ac:dyDescent="0.2">
      <c r="B30" s="5"/>
      <c r="C30" s="27"/>
      <c r="D30" s="27"/>
      <c r="E30" s="82"/>
      <c r="F30" s="23"/>
      <c r="Y30" s="70"/>
    </row>
    <row r="31" spans="2:26" x14ac:dyDescent="0.2">
      <c r="B31" s="5"/>
      <c r="C31" s="27"/>
      <c r="D31" s="27"/>
      <c r="E31" s="82"/>
      <c r="F31" s="23"/>
    </row>
    <row r="32" spans="2:26" x14ac:dyDescent="0.2">
      <c r="B32" s="5"/>
      <c r="C32" s="27"/>
      <c r="D32" s="27"/>
      <c r="E32" s="82"/>
      <c r="F32" s="23"/>
      <c r="R32" s="64"/>
    </row>
    <row r="33" spans="2:24" ht="19.5" x14ac:dyDescent="0.4">
      <c r="B33" s="5"/>
      <c r="C33" s="32" t="s">
        <v>33</v>
      </c>
      <c r="D33" s="33"/>
      <c r="E33" s="81">
        <f>'Detailed Model'!E30</f>
        <v>4</v>
      </c>
      <c r="F33" s="23"/>
      <c r="R33" s="64"/>
    </row>
    <row r="34" spans="2:24" ht="13.5" thickBot="1" x14ac:dyDescent="0.25">
      <c r="B34" s="9"/>
      <c r="C34" s="29"/>
      <c r="D34" s="29"/>
      <c r="E34" s="29"/>
      <c r="F34" s="24"/>
    </row>
    <row r="47" spans="2:24" x14ac:dyDescent="0.2">
      <c r="X47" s="64" t="s">
        <v>8</v>
      </c>
    </row>
    <row r="48" spans="2:24" x14ac:dyDescent="0.2">
      <c r="X48" s="64" t="s">
        <v>8</v>
      </c>
    </row>
    <row r="54" spans="27:27" x14ac:dyDescent="0.2">
      <c r="AA54" s="26">
        <v>1</v>
      </c>
    </row>
  </sheetData>
  <conditionalFormatting sqref="S21:X25">
    <cfRule type="expression" dxfId="21" priority="10">
      <formula>$AA$54=1</formula>
    </cfRule>
  </conditionalFormatting>
  <conditionalFormatting sqref="S21:X25">
    <cfRule type="expression" dxfId="20" priority="13">
      <formula>$AA$54=1</formula>
    </cfRule>
    <cfRule type="expression" dxfId="19" priority="14">
      <formula>$X$32=1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5" r:id="rId4" name="Drop Down 87">
              <controlPr defaultSize="0" autoLine="0" autoPict="0">
                <anchor moveWithCells="1">
                  <from>
                    <xdr:col>21</xdr:col>
                    <xdr:colOff>457200</xdr:colOff>
                    <xdr:row>17</xdr:row>
                    <xdr:rowOff>0</xdr:rowOff>
                  </from>
                  <to>
                    <xdr:col>22</xdr:col>
                    <xdr:colOff>600075</xdr:colOff>
                    <xdr:row>17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showRowColHeaders="0" workbookViewId="0"/>
  </sheetViews>
  <sheetFormatPr defaultRowHeight="12.75" x14ac:dyDescent="0.2"/>
  <cols>
    <col min="1" max="16384" width="9.140625" style="26"/>
  </cols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D623"/>
  <sheetViews>
    <sheetView showGridLines="0" zoomScaleNormal="100" workbookViewId="0">
      <selection activeCell="F10" sqref="F10:F36"/>
    </sheetView>
  </sheetViews>
  <sheetFormatPr defaultRowHeight="12.75" x14ac:dyDescent="0.2"/>
  <cols>
    <col min="1" max="1" width="25.5703125" style="70" customWidth="1"/>
    <col min="2" max="2" width="8.5703125" style="87" customWidth="1"/>
    <col min="3" max="3" width="10.28515625" style="70" customWidth="1"/>
    <col min="4" max="4" width="11.28515625" style="70" customWidth="1"/>
    <col min="5" max="5" width="11" style="70" customWidth="1"/>
    <col min="6" max="6" width="11.28515625" style="70" customWidth="1"/>
    <col min="7" max="16" width="5.7109375" style="70" customWidth="1"/>
    <col min="17" max="18" width="8.7109375" style="70" customWidth="1"/>
    <col min="19" max="19" width="10.42578125" style="70" customWidth="1"/>
    <col min="20" max="20" width="12.140625" style="70" customWidth="1"/>
    <col min="21" max="22" width="8.7109375" style="70" customWidth="1"/>
    <col min="23" max="23" width="4.7109375" style="70" customWidth="1"/>
    <col min="24" max="24" width="4.85546875" style="70" customWidth="1"/>
    <col min="25" max="25" width="5.42578125" style="70" customWidth="1"/>
    <col min="26" max="26" width="12.5703125" style="70" customWidth="1"/>
    <col min="27" max="27" width="9.140625" style="70"/>
    <col min="28" max="28" width="11.85546875" style="70" customWidth="1"/>
    <col min="29" max="29" width="12.85546875" style="70" customWidth="1"/>
    <col min="30" max="32" width="9.140625" style="70"/>
    <col min="33" max="33" width="11.140625" style="70" customWidth="1"/>
    <col min="34" max="34" width="11.42578125" style="70" customWidth="1"/>
    <col min="35" max="16384" width="9.140625" style="70"/>
  </cols>
  <sheetData>
    <row r="1" spans="1:42" ht="8.25" customHeight="1" x14ac:dyDescent="0.2">
      <c r="B1" s="26"/>
      <c r="P1" s="83"/>
      <c r="Q1" s="83"/>
      <c r="R1" s="83"/>
      <c r="S1" s="83"/>
      <c r="U1" s="84"/>
      <c r="AB1" s="85"/>
      <c r="AC1" s="85"/>
    </row>
    <row r="2" spans="1:42" ht="15" customHeight="1" x14ac:dyDescent="0.25">
      <c r="B2" s="26"/>
      <c r="C2" s="26"/>
      <c r="K2" s="86" t="s">
        <v>17</v>
      </c>
      <c r="R2" s="32" t="s">
        <v>41</v>
      </c>
      <c r="AB2" s="85"/>
      <c r="AC2" s="85"/>
    </row>
    <row r="3" spans="1:42" ht="15" customHeight="1" x14ac:dyDescent="0.25">
      <c r="B3" s="26"/>
      <c r="C3" s="26"/>
      <c r="E3" s="118"/>
      <c r="I3" s="88"/>
      <c r="L3" s="89"/>
      <c r="M3" s="89" t="s">
        <v>30</v>
      </c>
      <c r="N3" s="89"/>
      <c r="O3" s="89"/>
      <c r="P3" s="89"/>
      <c r="S3" s="86"/>
      <c r="AB3" s="85"/>
      <c r="AC3" s="85"/>
    </row>
    <row r="4" spans="1:42" ht="15" customHeight="1" x14ac:dyDescent="0.25">
      <c r="B4" s="26"/>
      <c r="C4" s="26"/>
      <c r="D4" s="88"/>
      <c r="F4" s="90"/>
      <c r="H4" s="26">
        <v>0</v>
      </c>
      <c r="I4" s="88"/>
      <c r="K4" s="91" t="s">
        <v>0</v>
      </c>
      <c r="L4" s="91" t="s">
        <v>1</v>
      </c>
      <c r="M4" s="91" t="s">
        <v>2</v>
      </c>
      <c r="N4" s="91" t="s">
        <v>3</v>
      </c>
      <c r="O4" s="91" t="s">
        <v>4</v>
      </c>
      <c r="P4" s="91" t="s">
        <v>5</v>
      </c>
      <c r="U4" s="32"/>
      <c r="AB4" s="85"/>
      <c r="AC4" s="85"/>
    </row>
    <row r="5" spans="1:42" ht="15" customHeight="1" x14ac:dyDescent="0.25">
      <c r="B5" s="26"/>
      <c r="C5" s="26"/>
      <c r="F5" s="88"/>
      <c r="H5" s="92" t="str">
        <f>IF(H4=0,"Average","Scenario "&amp;$H$4)</f>
        <v>Average</v>
      </c>
      <c r="I5" s="86" t="s">
        <v>19</v>
      </c>
      <c r="K5" s="71">
        <f>INDEX('Threat Libraries'!C6:I11,PM_Index,(6*Threat-5))</f>
        <v>10</v>
      </c>
      <c r="L5" s="71">
        <f>INDEX('Threat Libraries'!D6:J11,PM_Index,(6*Threat-5))</f>
        <v>10</v>
      </c>
      <c r="M5" s="71">
        <f>INDEX('Threat Libraries'!E6:K11,PM_Index,(6*Threat-5))</f>
        <v>4</v>
      </c>
      <c r="N5" s="71">
        <f>INDEX('Threat Libraries'!F6:L11,PM_Index,(6*Threat-5))</f>
        <v>3</v>
      </c>
      <c r="O5" s="71">
        <f>INDEX('Threat Libraries'!G6:M11,PM_Index,(6*Threat-5))</f>
        <v>15</v>
      </c>
      <c r="P5" s="71">
        <f>INDEX('Threat Libraries'!H6:N11,PM_Index,(6*Threat-5))</f>
        <v>14</v>
      </c>
      <c r="X5" s="70" t="s">
        <v>8</v>
      </c>
      <c r="Y5" s="70" t="s">
        <v>8</v>
      </c>
      <c r="AE5" s="26"/>
      <c r="AN5" s="70">
        <f>'High Level Model'!AA54</f>
        <v>1</v>
      </c>
      <c r="AO5" s="85"/>
      <c r="AP5" s="85"/>
    </row>
    <row r="6" spans="1:42" ht="15" customHeight="1" x14ac:dyDescent="0.25">
      <c r="I6" s="86" t="s">
        <v>7</v>
      </c>
      <c r="K6" s="93">
        <f t="shared" ref="K6:P6" si="0">SUMPRODUCT(Assignments,G10:G36)</f>
        <v>10</v>
      </c>
      <c r="L6" s="93">
        <f t="shared" si="0"/>
        <v>6</v>
      </c>
      <c r="M6" s="93">
        <f t="shared" si="0"/>
        <v>4</v>
      </c>
      <c r="N6" s="93">
        <f t="shared" si="0"/>
        <v>4</v>
      </c>
      <c r="O6" s="93">
        <f t="shared" si="0"/>
        <v>14</v>
      </c>
      <c r="P6" s="93">
        <f t="shared" si="0"/>
        <v>14</v>
      </c>
      <c r="R6" s="94"/>
      <c r="S6" s="27"/>
      <c r="T6" s="115" t="s">
        <v>34</v>
      </c>
      <c r="U6" s="116"/>
      <c r="V6" s="115" t="s">
        <v>42</v>
      </c>
      <c r="W6" s="58"/>
      <c r="AE6" s="26"/>
      <c r="AO6" s="85"/>
      <c r="AP6" s="85"/>
    </row>
    <row r="7" spans="1:42" ht="15.75" customHeight="1" x14ac:dyDescent="0.4">
      <c r="H7" s="86"/>
      <c r="I7" s="86" t="s">
        <v>18</v>
      </c>
      <c r="K7" s="94">
        <f t="shared" ref="K7:P7" si="1">K5-K6</f>
        <v>0</v>
      </c>
      <c r="L7" s="94">
        <f t="shared" si="1"/>
        <v>4</v>
      </c>
      <c r="M7" s="94">
        <f t="shared" si="1"/>
        <v>0</v>
      </c>
      <c r="N7" s="94">
        <f t="shared" si="1"/>
        <v>-1</v>
      </c>
      <c r="O7" s="94">
        <f t="shared" si="1"/>
        <v>1</v>
      </c>
      <c r="P7" s="94">
        <f t="shared" si="1"/>
        <v>0</v>
      </c>
      <c r="Q7" s="94" t="s">
        <v>78</v>
      </c>
      <c r="S7" s="27"/>
      <c r="T7" s="79">
        <f>SUMPRODUCT(Assignments,Costs)</f>
        <v>1300</v>
      </c>
      <c r="U7" s="65"/>
      <c r="V7" s="80">
        <f>AVERAGE(Total_Shortfall)</f>
        <v>13.6</v>
      </c>
      <c r="W7" s="58"/>
      <c r="AE7" s="26"/>
      <c r="AO7" s="85"/>
      <c r="AP7" s="85"/>
    </row>
    <row r="8" spans="1:42" ht="17.25" customHeight="1" x14ac:dyDescent="0.25">
      <c r="H8" s="86"/>
      <c r="I8" s="86" t="s">
        <v>6</v>
      </c>
      <c r="K8" s="94">
        <f t="shared" ref="K8:P8" si="2">IF(K7&gt;0,K7,0)</f>
        <v>0</v>
      </c>
      <c r="L8" s="94">
        <f t="shared" si="2"/>
        <v>4</v>
      </c>
      <c r="M8" s="94">
        <f t="shared" si="2"/>
        <v>0</v>
      </c>
      <c r="N8" s="94">
        <f t="shared" si="2"/>
        <v>0</v>
      </c>
      <c r="O8" s="94">
        <f t="shared" si="2"/>
        <v>1</v>
      </c>
      <c r="P8" s="94">
        <f t="shared" si="2"/>
        <v>0</v>
      </c>
      <c r="Q8" s="94">
        <f>SUM(K8:P8)</f>
        <v>5</v>
      </c>
      <c r="S8" s="27"/>
      <c r="T8" s="27"/>
      <c r="U8" s="58"/>
      <c r="V8" s="117"/>
      <c r="W8" s="58"/>
      <c r="AO8" s="85"/>
      <c r="AP8" s="85"/>
    </row>
    <row r="9" spans="1:42" ht="29.25" customHeight="1" thickBot="1" x14ac:dyDescent="0.3">
      <c r="B9" s="26"/>
      <c r="C9" s="95"/>
      <c r="D9" s="95" t="s">
        <v>40</v>
      </c>
      <c r="E9" s="96"/>
      <c r="F9" s="95" t="s">
        <v>35</v>
      </c>
      <c r="G9" s="91" t="s">
        <v>0</v>
      </c>
      <c r="H9" s="91" t="s">
        <v>1</v>
      </c>
      <c r="I9" s="91" t="s">
        <v>2</v>
      </c>
      <c r="J9" s="91" t="s">
        <v>3</v>
      </c>
      <c r="K9" s="91" t="s">
        <v>4</v>
      </c>
      <c r="L9" s="91" t="s">
        <v>5</v>
      </c>
      <c r="M9" s="83"/>
      <c r="N9" s="83"/>
      <c r="O9" s="26"/>
      <c r="P9" s="26"/>
      <c r="Q9" s="83"/>
      <c r="R9" s="83"/>
      <c r="S9" s="83"/>
    </row>
    <row r="10" spans="1:42" ht="13.5" customHeight="1" x14ac:dyDescent="0.2">
      <c r="A10" s="2"/>
      <c r="B10" s="3" t="s">
        <v>14</v>
      </c>
      <c r="C10" s="4">
        <v>1</v>
      </c>
      <c r="D10" s="12">
        <v>40</v>
      </c>
      <c r="E10" s="97" t="s">
        <v>10</v>
      </c>
      <c r="F10" s="16">
        <v>0</v>
      </c>
      <c r="G10" s="98">
        <v>1</v>
      </c>
      <c r="H10" s="99"/>
      <c r="I10" s="99"/>
      <c r="J10" s="99"/>
      <c r="K10" s="99"/>
      <c r="L10" s="99"/>
      <c r="M10" s="83"/>
      <c r="N10" s="83"/>
      <c r="O10" s="26"/>
      <c r="P10" s="26"/>
      <c r="Q10" s="83"/>
      <c r="R10" s="83"/>
      <c r="S10" s="83"/>
    </row>
    <row r="11" spans="1:42" ht="13.5" customHeight="1" x14ac:dyDescent="0.2">
      <c r="A11" s="5"/>
      <c r="B11" s="6"/>
      <c r="C11" s="7">
        <v>2</v>
      </c>
      <c r="D11" s="13">
        <v>60</v>
      </c>
      <c r="E11" s="99">
        <v>20</v>
      </c>
      <c r="F11" s="17">
        <v>0</v>
      </c>
      <c r="G11" s="98"/>
      <c r="H11" s="99">
        <v>1</v>
      </c>
      <c r="I11" s="99"/>
      <c r="J11" s="99"/>
      <c r="K11" s="99"/>
      <c r="L11" s="99"/>
      <c r="M11" s="83"/>
      <c r="N11" s="83"/>
      <c r="O11" s="26"/>
      <c r="P11" s="26"/>
      <c r="Q11" s="83"/>
      <c r="R11" s="83"/>
      <c r="S11" s="83"/>
    </row>
    <row r="12" spans="1:42" ht="13.5" customHeight="1" x14ac:dyDescent="0.2">
      <c r="A12" s="5"/>
      <c r="B12" s="6"/>
      <c r="C12" s="7">
        <v>3</v>
      </c>
      <c r="D12" s="13">
        <v>40</v>
      </c>
      <c r="E12" s="99" t="s">
        <v>11</v>
      </c>
      <c r="F12" s="17">
        <v>0</v>
      </c>
      <c r="G12" s="98"/>
      <c r="H12" s="99"/>
      <c r="I12" s="99">
        <v>1</v>
      </c>
      <c r="J12" s="99"/>
      <c r="K12" s="99"/>
      <c r="L12" s="99"/>
      <c r="M12" s="83"/>
      <c r="N12" s="83"/>
      <c r="O12" s="26"/>
      <c r="P12" s="26"/>
      <c r="Q12" s="83"/>
      <c r="R12" s="83"/>
      <c r="S12" s="83"/>
      <c r="AO12" s="70" t="s">
        <v>12</v>
      </c>
      <c r="AP12" s="70" t="s">
        <v>13</v>
      </c>
    </row>
    <row r="13" spans="1:42" ht="13.5" customHeight="1" x14ac:dyDescent="0.2">
      <c r="A13" s="5"/>
      <c r="B13" s="6"/>
      <c r="C13" s="7">
        <v>4</v>
      </c>
      <c r="D13" s="13">
        <v>50</v>
      </c>
      <c r="E13" s="100">
        <f>SUM(F10:F15)</f>
        <v>6</v>
      </c>
      <c r="F13" s="17">
        <v>0</v>
      </c>
      <c r="G13" s="98"/>
      <c r="H13" s="99"/>
      <c r="I13" s="99"/>
      <c r="J13" s="99">
        <v>1</v>
      </c>
      <c r="K13" s="99"/>
      <c r="L13" s="99"/>
      <c r="M13" s="83"/>
      <c r="N13" s="83"/>
      <c r="O13" s="26"/>
      <c r="P13" s="26"/>
      <c r="Q13" s="83"/>
      <c r="R13" s="83"/>
      <c r="S13" s="83"/>
      <c r="AP13" s="70" t="s">
        <v>79</v>
      </c>
    </row>
    <row r="14" spans="1:42" ht="13.5" customHeight="1" x14ac:dyDescent="0.2">
      <c r="A14" s="5"/>
      <c r="B14" s="6"/>
      <c r="C14" s="7">
        <v>5</v>
      </c>
      <c r="D14" s="13">
        <v>30</v>
      </c>
      <c r="E14" s="101"/>
      <c r="F14" s="17">
        <v>6</v>
      </c>
      <c r="G14" s="98"/>
      <c r="H14" s="99"/>
      <c r="I14" s="99"/>
      <c r="J14" s="99"/>
      <c r="K14" s="99">
        <v>1</v>
      </c>
      <c r="L14" s="99"/>
      <c r="M14" s="83"/>
      <c r="N14" s="83"/>
      <c r="O14" s="26"/>
      <c r="P14" s="26"/>
      <c r="Q14" s="83"/>
      <c r="R14" s="83"/>
      <c r="S14" s="83"/>
      <c r="AO14" s="102">
        <v>0</v>
      </c>
      <c r="AP14" s="70">
        <f t="array" ref="AP14:AP23">FREQUENCY(Total_Shortfall,$AO$15:$AO$23)/5</f>
        <v>0</v>
      </c>
    </row>
    <row r="15" spans="1:42" ht="13.5" customHeight="1" thickBot="1" x14ac:dyDescent="0.25">
      <c r="A15" s="9"/>
      <c r="B15" s="10"/>
      <c r="C15" s="11">
        <v>6</v>
      </c>
      <c r="D15" s="19">
        <v>40</v>
      </c>
      <c r="E15" s="103"/>
      <c r="F15" s="20">
        <v>0</v>
      </c>
      <c r="G15" s="104"/>
      <c r="H15" s="105"/>
      <c r="I15" s="105"/>
      <c r="J15" s="105"/>
      <c r="K15" s="105"/>
      <c r="L15" s="105">
        <v>1</v>
      </c>
      <c r="M15" s="83"/>
      <c r="N15" s="83"/>
      <c r="O15" s="26"/>
      <c r="P15" s="26"/>
      <c r="Q15" s="83"/>
      <c r="R15" s="83"/>
      <c r="S15" s="83"/>
      <c r="AO15" s="102">
        <f t="shared" ref="AO15:AO23" si="3">AO14 + ( $AO$24 - $AO$14 ) / 10</f>
        <v>5</v>
      </c>
      <c r="AP15" s="70">
        <v>0.2</v>
      </c>
    </row>
    <row r="16" spans="1:42" ht="13.5" customHeight="1" x14ac:dyDescent="0.2">
      <c r="A16" s="5"/>
      <c r="B16" s="8" t="s">
        <v>15</v>
      </c>
      <c r="C16" s="7">
        <v>7</v>
      </c>
      <c r="D16" s="13">
        <v>70</v>
      </c>
      <c r="E16" s="106" t="s">
        <v>10</v>
      </c>
      <c r="F16" s="17">
        <v>0</v>
      </c>
      <c r="G16" s="107">
        <v>1</v>
      </c>
      <c r="H16" s="106">
        <v>1</v>
      </c>
      <c r="I16" s="106"/>
      <c r="J16" s="106"/>
      <c r="K16" s="106"/>
      <c r="L16" s="106"/>
      <c r="M16" s="83"/>
      <c r="N16" s="83"/>
      <c r="O16" s="26"/>
      <c r="P16" s="26"/>
      <c r="Q16" s="83"/>
      <c r="R16" s="83"/>
      <c r="S16" s="83"/>
      <c r="AO16" s="102">
        <f t="shared" si="3"/>
        <v>10</v>
      </c>
      <c r="AP16" s="70">
        <v>0.4</v>
      </c>
    </row>
    <row r="17" spans="1:43" ht="13.5" customHeight="1" x14ac:dyDescent="0.2">
      <c r="A17" s="5"/>
      <c r="B17" s="6"/>
      <c r="C17" s="7">
        <v>8</v>
      </c>
      <c r="D17" s="13">
        <v>70</v>
      </c>
      <c r="E17" s="99">
        <v>15</v>
      </c>
      <c r="F17" s="17">
        <v>0</v>
      </c>
      <c r="G17" s="98"/>
      <c r="H17" s="99">
        <v>1</v>
      </c>
      <c r="I17" s="99">
        <v>1</v>
      </c>
      <c r="J17" s="99"/>
      <c r="K17" s="99"/>
      <c r="L17" s="99"/>
      <c r="M17" s="83"/>
      <c r="N17" s="83"/>
      <c r="O17" s="26"/>
      <c r="P17" s="26"/>
      <c r="Q17" s="83"/>
      <c r="R17" s="83"/>
      <c r="S17" s="83"/>
      <c r="AO17" s="102">
        <f t="shared" si="3"/>
        <v>15</v>
      </c>
      <c r="AP17" s="70">
        <v>0.2</v>
      </c>
    </row>
    <row r="18" spans="1:43" ht="13.5" customHeight="1" x14ac:dyDescent="0.2">
      <c r="A18" s="5"/>
      <c r="B18" s="6"/>
      <c r="C18" s="7">
        <v>9</v>
      </c>
      <c r="D18" s="13">
        <v>60</v>
      </c>
      <c r="E18" s="100" t="s">
        <v>11</v>
      </c>
      <c r="F18" s="17">
        <v>0</v>
      </c>
      <c r="G18" s="98"/>
      <c r="H18" s="99"/>
      <c r="I18" s="99">
        <v>1</v>
      </c>
      <c r="J18" s="99">
        <v>1</v>
      </c>
      <c r="K18" s="99"/>
      <c r="L18" s="99"/>
      <c r="M18" s="83"/>
      <c r="N18" s="83"/>
      <c r="O18" s="83"/>
      <c r="P18" s="83"/>
      <c r="Q18" s="83"/>
      <c r="R18" s="83"/>
      <c r="S18" s="83"/>
      <c r="W18" s="58"/>
      <c r="AO18" s="102">
        <f t="shared" si="3"/>
        <v>20</v>
      </c>
      <c r="AP18" s="58">
        <v>0.2</v>
      </c>
    </row>
    <row r="19" spans="1:43" ht="13.5" customHeight="1" x14ac:dyDescent="0.2">
      <c r="A19" s="5"/>
      <c r="B19" s="6"/>
      <c r="C19" s="7">
        <v>10</v>
      </c>
      <c r="D19" s="13">
        <v>50</v>
      </c>
      <c r="E19" s="99">
        <f>SUM(F16:F26)</f>
        <v>15</v>
      </c>
      <c r="F19" s="17">
        <v>0</v>
      </c>
      <c r="G19" s="98"/>
      <c r="H19" s="99"/>
      <c r="I19" s="99"/>
      <c r="J19" s="99">
        <v>1</v>
      </c>
      <c r="K19" s="99">
        <v>1</v>
      </c>
      <c r="L19" s="99"/>
      <c r="M19" s="83"/>
      <c r="N19" s="83"/>
      <c r="O19" s="83"/>
      <c r="P19" s="83"/>
      <c r="Q19" s="83"/>
      <c r="R19" s="83"/>
      <c r="S19" s="83"/>
      <c r="AO19" s="102">
        <f t="shared" si="3"/>
        <v>25</v>
      </c>
      <c r="AP19" s="70">
        <v>0</v>
      </c>
      <c r="AQ19" s="58"/>
    </row>
    <row r="20" spans="1:43" ht="13.5" customHeight="1" x14ac:dyDescent="0.2">
      <c r="A20" s="5"/>
      <c r="B20" s="6"/>
      <c r="C20" s="7">
        <v>11</v>
      </c>
      <c r="D20" s="13">
        <v>80</v>
      </c>
      <c r="F20" s="17">
        <v>0</v>
      </c>
      <c r="G20" s="98"/>
      <c r="H20" s="99"/>
      <c r="I20" s="99"/>
      <c r="J20" s="99"/>
      <c r="K20" s="99">
        <v>1</v>
      </c>
      <c r="L20" s="99">
        <v>1</v>
      </c>
      <c r="M20" s="83"/>
      <c r="N20" s="83"/>
      <c r="O20" s="83"/>
      <c r="P20" s="83"/>
      <c r="Q20" s="83"/>
      <c r="R20" s="83"/>
      <c r="S20" s="83"/>
      <c r="W20" s="58"/>
      <c r="AO20" s="102">
        <f t="shared" si="3"/>
        <v>30</v>
      </c>
      <c r="AP20" s="70">
        <v>0</v>
      </c>
    </row>
    <row r="21" spans="1:43" ht="13.5" customHeight="1" x14ac:dyDescent="0.2">
      <c r="A21" s="5"/>
      <c r="B21" s="6"/>
      <c r="C21" s="7">
        <v>12</v>
      </c>
      <c r="D21" s="13">
        <v>50</v>
      </c>
      <c r="E21" s="108"/>
      <c r="F21" s="17">
        <v>5</v>
      </c>
      <c r="G21" s="98">
        <v>2</v>
      </c>
      <c r="H21" s="99"/>
      <c r="I21" s="99"/>
      <c r="J21" s="99"/>
      <c r="K21" s="99"/>
      <c r="L21" s="99"/>
      <c r="M21" s="83"/>
      <c r="N21" s="83"/>
      <c r="O21" s="83"/>
      <c r="P21" s="83"/>
      <c r="Q21" s="83"/>
      <c r="R21" s="83"/>
      <c r="S21" s="83"/>
      <c r="AO21" s="102">
        <f t="shared" si="3"/>
        <v>35</v>
      </c>
      <c r="AP21" s="58">
        <v>0</v>
      </c>
      <c r="AQ21" s="58"/>
    </row>
    <row r="22" spans="1:43" ht="13.5" customHeight="1" x14ac:dyDescent="0.2">
      <c r="A22" s="5"/>
      <c r="B22" s="6"/>
      <c r="C22" s="7">
        <v>13</v>
      </c>
      <c r="D22" s="13">
        <v>60</v>
      </c>
      <c r="E22" s="108"/>
      <c r="F22" s="17">
        <v>3</v>
      </c>
      <c r="G22" s="98"/>
      <c r="H22" s="99">
        <v>2</v>
      </c>
      <c r="I22" s="99"/>
      <c r="J22" s="99"/>
      <c r="K22" s="99"/>
      <c r="L22" s="99"/>
      <c r="M22" s="83"/>
      <c r="N22" s="83"/>
      <c r="O22" s="83"/>
      <c r="P22" s="83"/>
      <c r="Q22" s="83"/>
      <c r="R22" s="83"/>
      <c r="S22" s="83"/>
      <c r="AO22" s="102">
        <f t="shared" si="3"/>
        <v>40</v>
      </c>
      <c r="AP22" s="70">
        <v>0</v>
      </c>
    </row>
    <row r="23" spans="1:43" ht="13.5" customHeight="1" x14ac:dyDescent="0.2">
      <c r="A23" s="5"/>
      <c r="B23" s="6"/>
      <c r="C23" s="7">
        <v>14</v>
      </c>
      <c r="D23" s="13">
        <v>50</v>
      </c>
      <c r="E23" s="108"/>
      <c r="F23" s="17">
        <v>0</v>
      </c>
      <c r="G23" s="98"/>
      <c r="H23" s="99"/>
      <c r="I23" s="99">
        <v>2</v>
      </c>
      <c r="J23" s="99"/>
      <c r="K23" s="99"/>
      <c r="L23" s="99"/>
      <c r="M23" s="83"/>
      <c r="N23" s="83"/>
      <c r="O23" s="83"/>
      <c r="P23" s="83"/>
      <c r="Q23" s="83"/>
      <c r="R23" s="83"/>
      <c r="S23" s="83"/>
      <c r="AO23" s="102">
        <f t="shared" si="3"/>
        <v>45</v>
      </c>
      <c r="AP23" s="70">
        <v>0</v>
      </c>
    </row>
    <row r="24" spans="1:43" ht="13.5" customHeight="1" x14ac:dyDescent="0.2">
      <c r="A24" s="5"/>
      <c r="B24" s="6"/>
      <c r="C24" s="7">
        <v>15</v>
      </c>
      <c r="D24" s="13">
        <v>60</v>
      </c>
      <c r="F24" s="17">
        <v>0</v>
      </c>
      <c r="G24" s="98"/>
      <c r="H24" s="99"/>
      <c r="I24" s="99"/>
      <c r="J24" s="99">
        <v>2</v>
      </c>
      <c r="K24" s="99"/>
      <c r="L24" s="99"/>
      <c r="M24" s="83"/>
      <c r="N24" s="83"/>
      <c r="O24" s="83"/>
      <c r="P24" s="83"/>
      <c r="Q24" s="83"/>
      <c r="R24" s="83"/>
      <c r="S24" s="83"/>
      <c r="AO24" s="102">
        <v>50</v>
      </c>
    </row>
    <row r="25" spans="1:43" ht="13.5" customHeight="1" x14ac:dyDescent="0.2">
      <c r="A25" s="5"/>
      <c r="B25" s="6"/>
      <c r="C25" s="7">
        <v>16</v>
      </c>
      <c r="D25" s="13">
        <v>50</v>
      </c>
      <c r="F25" s="17">
        <v>0</v>
      </c>
      <c r="G25" s="98"/>
      <c r="H25" s="99"/>
      <c r="I25" s="99"/>
      <c r="J25" s="99"/>
      <c r="K25" s="99">
        <v>2</v>
      </c>
      <c r="L25" s="99"/>
      <c r="M25" s="83"/>
      <c r="N25" s="83"/>
      <c r="O25" s="83"/>
      <c r="P25" s="83"/>
      <c r="Q25" s="83"/>
      <c r="R25" s="83"/>
      <c r="S25" s="83"/>
    </row>
    <row r="26" spans="1:43" ht="13.5" customHeight="1" thickBot="1" x14ac:dyDescent="0.25">
      <c r="A26" s="9"/>
      <c r="B26" s="10"/>
      <c r="C26" s="11">
        <v>17</v>
      </c>
      <c r="D26" s="19">
        <v>50</v>
      </c>
      <c r="E26" s="67"/>
      <c r="F26" s="20">
        <v>7</v>
      </c>
      <c r="G26" s="104"/>
      <c r="H26" s="105"/>
      <c r="I26" s="105"/>
      <c r="J26" s="105"/>
      <c r="K26" s="105"/>
      <c r="L26" s="105">
        <v>2</v>
      </c>
      <c r="M26" s="83"/>
      <c r="N26" s="83"/>
      <c r="O26" s="83"/>
      <c r="P26" s="83"/>
      <c r="Q26" s="83"/>
      <c r="R26" s="83"/>
      <c r="S26" s="83"/>
    </row>
    <row r="27" spans="1:43" ht="13.5" customHeight="1" x14ac:dyDescent="0.2">
      <c r="A27" s="5"/>
      <c r="B27" s="8" t="s">
        <v>16</v>
      </c>
      <c r="C27" s="7">
        <v>18</v>
      </c>
      <c r="D27" s="13">
        <v>120</v>
      </c>
      <c r="E27" s="106" t="s">
        <v>10</v>
      </c>
      <c r="F27" s="17">
        <v>0</v>
      </c>
      <c r="G27" s="107"/>
      <c r="H27" s="106"/>
      <c r="I27" s="106"/>
      <c r="J27" s="106"/>
      <c r="K27" s="106"/>
      <c r="L27" s="106">
        <v>2</v>
      </c>
      <c r="M27" s="83"/>
      <c r="N27" s="83"/>
      <c r="O27" s="83"/>
      <c r="P27" s="83"/>
      <c r="Q27" s="83"/>
      <c r="R27" s="83"/>
      <c r="S27" s="83"/>
    </row>
    <row r="28" spans="1:43" ht="13.5" customHeight="1" x14ac:dyDescent="0.2">
      <c r="A28" s="5"/>
      <c r="B28" s="6"/>
      <c r="C28" s="7">
        <v>19</v>
      </c>
      <c r="D28" s="13">
        <v>100</v>
      </c>
      <c r="E28" s="99">
        <v>4</v>
      </c>
      <c r="F28" s="17">
        <v>0</v>
      </c>
      <c r="G28" s="98">
        <v>0</v>
      </c>
      <c r="H28" s="99"/>
      <c r="I28" s="99">
        <v>2</v>
      </c>
      <c r="J28" s="99"/>
      <c r="K28" s="99">
        <v>2</v>
      </c>
      <c r="L28" s="99"/>
      <c r="M28" s="83"/>
      <c r="N28" s="83"/>
      <c r="O28" s="83"/>
      <c r="P28" s="83"/>
      <c r="Q28" s="83"/>
      <c r="R28" s="83"/>
      <c r="S28" s="83"/>
    </row>
    <row r="29" spans="1:43" ht="13.5" customHeight="1" x14ac:dyDescent="0.2">
      <c r="A29" s="5"/>
      <c r="B29" s="6"/>
      <c r="C29" s="7">
        <v>20</v>
      </c>
      <c r="D29" s="13">
        <v>90</v>
      </c>
      <c r="E29" s="100" t="s">
        <v>11</v>
      </c>
      <c r="F29" s="17">
        <v>0</v>
      </c>
      <c r="G29" s="98"/>
      <c r="H29" s="99"/>
      <c r="I29" s="99">
        <v>2</v>
      </c>
      <c r="J29" s="99">
        <v>2</v>
      </c>
      <c r="K29" s="99"/>
      <c r="L29" s="99"/>
      <c r="M29" s="83"/>
      <c r="N29" s="83"/>
      <c r="O29" s="83"/>
      <c r="P29" s="83"/>
      <c r="Q29" s="83"/>
      <c r="R29" s="83"/>
      <c r="S29" s="83"/>
    </row>
    <row r="30" spans="1:43" ht="13.5" customHeight="1" x14ac:dyDescent="0.2">
      <c r="A30" s="5"/>
      <c r="B30" s="6"/>
      <c r="C30" s="7">
        <v>21</v>
      </c>
      <c r="D30" s="13">
        <v>110</v>
      </c>
      <c r="E30" s="99">
        <f>SUM(F27:F36)</f>
        <v>4</v>
      </c>
      <c r="F30" s="17">
        <v>0</v>
      </c>
      <c r="G30" s="98"/>
      <c r="H30" s="99"/>
      <c r="I30" s="99"/>
      <c r="J30" s="99">
        <v>2</v>
      </c>
      <c r="K30" s="99">
        <v>2</v>
      </c>
      <c r="L30" s="99"/>
      <c r="M30" s="83"/>
      <c r="N30" s="83"/>
      <c r="O30" s="83"/>
      <c r="P30" s="83"/>
      <c r="Q30" s="83"/>
      <c r="R30" s="83"/>
      <c r="S30" s="83"/>
    </row>
    <row r="31" spans="1:43" ht="13.5" customHeight="1" x14ac:dyDescent="0.2">
      <c r="A31" s="5"/>
      <c r="B31" s="6"/>
      <c r="C31" s="7">
        <v>22</v>
      </c>
      <c r="D31" s="13">
        <v>130</v>
      </c>
      <c r="F31" s="17">
        <v>0</v>
      </c>
      <c r="G31" s="98"/>
      <c r="H31" s="99"/>
      <c r="I31" s="99"/>
      <c r="J31" s="99"/>
      <c r="K31" s="99">
        <v>2</v>
      </c>
      <c r="L31" s="99">
        <v>2</v>
      </c>
      <c r="M31" s="83"/>
      <c r="N31" s="83"/>
      <c r="O31" s="83"/>
      <c r="P31" s="83"/>
      <c r="Q31" s="83"/>
      <c r="R31" s="83"/>
      <c r="S31" s="83"/>
    </row>
    <row r="32" spans="1:43" ht="13.5" customHeight="1" x14ac:dyDescent="0.2">
      <c r="A32" s="5"/>
      <c r="B32" s="6"/>
      <c r="C32" s="7">
        <v>23</v>
      </c>
      <c r="D32" s="13">
        <v>100</v>
      </c>
      <c r="E32" s="108"/>
      <c r="F32" s="17">
        <v>0</v>
      </c>
      <c r="G32" s="98">
        <v>4</v>
      </c>
      <c r="H32" s="99"/>
      <c r="I32" s="99"/>
      <c r="J32" s="99"/>
      <c r="K32" s="99"/>
      <c r="L32" s="99"/>
      <c r="M32" s="83"/>
      <c r="N32" s="83"/>
      <c r="O32" s="83"/>
      <c r="P32" s="83"/>
      <c r="Q32" s="83"/>
      <c r="R32" s="83"/>
      <c r="S32" s="83"/>
    </row>
    <row r="33" spans="1:19" ht="13.5" customHeight="1" x14ac:dyDescent="0.2">
      <c r="A33" s="5"/>
      <c r="B33" s="6"/>
      <c r="C33" s="7">
        <v>24</v>
      </c>
      <c r="D33" s="14">
        <v>90</v>
      </c>
      <c r="E33" s="108"/>
      <c r="F33" s="17">
        <v>1</v>
      </c>
      <c r="G33" s="98"/>
      <c r="H33" s="99"/>
      <c r="I33" s="99">
        <v>4</v>
      </c>
      <c r="J33" s="99"/>
      <c r="K33" s="99"/>
      <c r="L33" s="99"/>
      <c r="M33" s="83"/>
      <c r="N33" s="83"/>
      <c r="O33" s="83"/>
      <c r="P33" s="83"/>
      <c r="S33" s="83"/>
    </row>
    <row r="34" spans="1:19" ht="13.5" customHeight="1" x14ac:dyDescent="0.2">
      <c r="A34" s="5"/>
      <c r="B34" s="6"/>
      <c r="C34" s="7">
        <v>25</v>
      </c>
      <c r="D34" s="14">
        <v>90</v>
      </c>
      <c r="E34" s="109"/>
      <c r="F34" s="17">
        <v>1</v>
      </c>
      <c r="G34" s="98"/>
      <c r="H34" s="99"/>
      <c r="I34" s="99"/>
      <c r="J34" s="99">
        <v>4</v>
      </c>
      <c r="K34" s="99"/>
      <c r="L34" s="99"/>
      <c r="M34" s="83"/>
      <c r="N34" s="83"/>
      <c r="O34" s="83"/>
      <c r="P34" s="83"/>
      <c r="Q34" s="83"/>
      <c r="R34" s="83"/>
      <c r="S34" s="83"/>
    </row>
    <row r="35" spans="1:19" ht="13.5" customHeight="1" x14ac:dyDescent="0.2">
      <c r="A35" s="5"/>
      <c r="B35" s="6"/>
      <c r="C35" s="7">
        <v>26</v>
      </c>
      <c r="D35" s="13">
        <v>80</v>
      </c>
      <c r="E35" s="109"/>
      <c r="F35" s="17">
        <v>2</v>
      </c>
      <c r="G35" s="98"/>
      <c r="H35" s="99"/>
      <c r="I35" s="99"/>
      <c r="J35" s="99"/>
      <c r="K35" s="99">
        <v>4</v>
      </c>
      <c r="L35" s="99"/>
      <c r="M35" s="83"/>
      <c r="N35" s="83"/>
      <c r="O35" s="83"/>
      <c r="P35" s="83"/>
      <c r="Q35" s="83"/>
      <c r="R35" s="83"/>
      <c r="S35" s="83"/>
    </row>
    <row r="36" spans="1:19" ht="13.5" customHeight="1" thickBot="1" x14ac:dyDescent="0.25">
      <c r="A36" s="9"/>
      <c r="B36" s="10"/>
      <c r="C36" s="11">
        <v>27</v>
      </c>
      <c r="D36" s="15">
        <v>100</v>
      </c>
      <c r="E36" s="110"/>
      <c r="F36" s="18">
        <v>0</v>
      </c>
      <c r="G36" s="98"/>
      <c r="H36" s="99"/>
      <c r="I36" s="99"/>
      <c r="J36" s="99"/>
      <c r="K36" s="99"/>
      <c r="L36" s="99">
        <v>4</v>
      </c>
      <c r="M36" s="83"/>
      <c r="N36" s="83"/>
      <c r="O36" s="83"/>
      <c r="P36" s="83"/>
      <c r="Q36" s="83"/>
      <c r="R36" s="83"/>
      <c r="S36" s="83"/>
    </row>
    <row r="37" spans="1:19" ht="13.5" customHeight="1" x14ac:dyDescent="0.2">
      <c r="F37" s="85"/>
      <c r="M37" s="83"/>
      <c r="N37" s="83"/>
      <c r="O37" s="83"/>
      <c r="P37" s="83"/>
      <c r="Q37" s="83"/>
      <c r="R37" s="83"/>
      <c r="S37" s="83"/>
    </row>
    <row r="38" spans="1:19" ht="13.5" customHeight="1" x14ac:dyDescent="0.2">
      <c r="F38" s="85"/>
      <c r="M38" s="83"/>
      <c r="N38" s="83"/>
      <c r="O38" s="83"/>
      <c r="P38" s="83"/>
      <c r="Q38" s="83"/>
      <c r="R38" s="83"/>
      <c r="S38" s="83"/>
    </row>
    <row r="39" spans="1:19" ht="13.5" customHeight="1" x14ac:dyDescent="0.2">
      <c r="F39" s="85"/>
      <c r="M39" s="83"/>
      <c r="N39" s="83"/>
      <c r="O39" s="83"/>
      <c r="P39" s="83"/>
      <c r="Q39" s="83"/>
      <c r="R39" s="83"/>
      <c r="S39" s="83"/>
    </row>
    <row r="40" spans="1:19" ht="13.5" customHeight="1" x14ac:dyDescent="0.2">
      <c r="F40" s="85"/>
      <c r="M40" s="83"/>
      <c r="N40" s="83"/>
      <c r="O40" s="83"/>
      <c r="P40" s="83"/>
      <c r="Q40" s="83"/>
      <c r="R40" s="83"/>
      <c r="S40" s="83"/>
    </row>
    <row r="41" spans="1:19" x14ac:dyDescent="0.2">
      <c r="F41" s="85"/>
      <c r="M41" s="83"/>
      <c r="N41" s="83"/>
      <c r="O41" s="83"/>
      <c r="P41" s="83"/>
      <c r="Q41" s="83"/>
      <c r="R41" s="83"/>
      <c r="S41" s="83"/>
    </row>
    <row r="42" spans="1:19" x14ac:dyDescent="0.2">
      <c r="F42" s="85"/>
      <c r="M42" s="83"/>
      <c r="N42" s="83"/>
      <c r="O42" s="83"/>
      <c r="P42" s="83"/>
      <c r="Q42" s="83"/>
      <c r="R42" s="83"/>
      <c r="S42" s="83"/>
    </row>
    <row r="43" spans="1:19" x14ac:dyDescent="0.2">
      <c r="F43" s="85"/>
    </row>
    <row r="44" spans="1:19" x14ac:dyDescent="0.2">
      <c r="F44" s="85"/>
    </row>
    <row r="45" spans="1:19" x14ac:dyDescent="0.2">
      <c r="F45" s="85"/>
    </row>
    <row r="46" spans="1:19" x14ac:dyDescent="0.2">
      <c r="F46" s="85"/>
    </row>
    <row r="47" spans="1:19" x14ac:dyDescent="0.2">
      <c r="F47" s="85"/>
    </row>
    <row r="48" spans="1:19" x14ac:dyDescent="0.2">
      <c r="F48" s="85"/>
      <c r="Q48" s="111"/>
      <c r="R48" s="112"/>
    </row>
    <row r="49" spans="6:6" x14ac:dyDescent="0.2">
      <c r="F49" s="85"/>
    </row>
    <row r="50" spans="6:6" x14ac:dyDescent="0.2">
      <c r="F50" s="85"/>
    </row>
    <row r="51" spans="6:6" x14ac:dyDescent="0.2">
      <c r="F51" s="85"/>
    </row>
    <row r="72" spans="17:24" x14ac:dyDescent="0.2">
      <c r="Q72" s="111">
        <f>T7</f>
        <v>1300</v>
      </c>
      <c r="R72" s="112">
        <f>V7</f>
        <v>13.6</v>
      </c>
    </row>
    <row r="80" spans="17:24" x14ac:dyDescent="0.2">
      <c r="R80" s="113">
        <f>'High Level Model'!S29</f>
        <v>0</v>
      </c>
      <c r="S80" s="113">
        <f>'High Level Model'!T29</f>
        <v>0</v>
      </c>
      <c r="T80" s="113">
        <f>'High Level Model'!U29</f>
        <v>0</v>
      </c>
      <c r="U80" s="113">
        <f>'High Level Model'!V29</f>
        <v>0</v>
      </c>
      <c r="V80" s="113">
        <f>'High Level Model'!W29</f>
        <v>0</v>
      </c>
      <c r="W80" s="113">
        <f>'High Level Model'!X29</f>
        <v>0</v>
      </c>
      <c r="X80" s="70" t="s">
        <v>8</v>
      </c>
    </row>
    <row r="623" spans="56:56" ht="12.75" customHeight="1" x14ac:dyDescent="0.5">
      <c r="BD623" s="114"/>
    </row>
  </sheetData>
  <phoneticPr fontId="0" type="noConversion"/>
  <conditionalFormatting sqref="F10:F36">
    <cfRule type="cellIs" dxfId="18" priority="37" stopIfTrue="1" operator="greaterThan">
      <formula>0</formula>
    </cfRule>
  </conditionalFormatting>
  <conditionalFormatting sqref="K8:Q8">
    <cfRule type="cellIs" dxfId="17" priority="30" stopIfTrue="1" operator="greaterThan">
      <formula>0.01</formula>
    </cfRule>
  </conditionalFormatting>
  <conditionalFormatting sqref="R80:W80">
    <cfRule type="expression" dxfId="16" priority="27">
      <formula>$X$26=1</formula>
    </cfRule>
  </conditionalFormatting>
  <conditionalFormatting sqref="E13">
    <cfRule type="expression" dxfId="15" priority="19">
      <formula>$E$13&gt;$E$11</formula>
    </cfRule>
  </conditionalFormatting>
  <conditionalFormatting sqref="E19">
    <cfRule type="expression" dxfId="14" priority="18">
      <formula>$E$19&gt;$E$17</formula>
    </cfRule>
  </conditionalFormatting>
  <conditionalFormatting sqref="E30">
    <cfRule type="expression" dxfId="13" priority="17">
      <formula>$E$30&gt;$E$28</formula>
    </cfRule>
  </conditionalFormatting>
  <conditionalFormatting sqref="R80:W80">
    <cfRule type="expression" dxfId="12" priority="16">
      <formula>$AA$54=1</formula>
    </cfRule>
  </conditionalFormatting>
  <conditionalFormatting sqref="R80:W80">
    <cfRule type="expression" dxfId="11" priority="14">
      <formula>$AA$54=1</formula>
    </cfRule>
    <cfRule type="expression" dxfId="10" priority="15">
      <formula>$X$26=1</formula>
    </cfRule>
  </conditionalFormatting>
  <conditionalFormatting sqref="R80:W80">
    <cfRule type="expression" dxfId="9" priority="40">
      <formula>$AN$5=1</formula>
    </cfRule>
    <cfRule type="expression" dxfId="8" priority="41">
      <formula>$X$26=1</formula>
    </cfRule>
  </conditionalFormatting>
  <conditionalFormatting sqref="R80:W80">
    <cfRule type="expression" dxfId="7" priority="43">
      <formula>$AN$5=1</formula>
    </cfRule>
    <cfRule type="expression" dxfId="6" priority="44">
      <formula>$X$26=1</formula>
    </cfRule>
  </conditionalFormatting>
  <conditionalFormatting sqref="K5:P5">
    <cfRule type="expression" dxfId="5" priority="3">
      <formula>$AA$54=1</formula>
    </cfRule>
  </conditionalFormatting>
  <conditionalFormatting sqref="K5:P5">
    <cfRule type="expression" dxfId="4" priority="1">
      <formula>$AA$54=1</formula>
    </cfRule>
    <cfRule type="expression" dxfId="3" priority="2">
      <formula>$X$26=1</formula>
    </cfRule>
  </conditionalFormatting>
  <conditionalFormatting sqref="K5:P5">
    <cfRule type="expression" dxfId="2" priority="4">
      <formula>$AN$5=1</formula>
    </cfRule>
    <cfRule type="expression" dxfId="1" priority="5">
      <formula>$X$26=1</formula>
    </cfRule>
  </conditionalFormatting>
  <printOptions gridLinesSet="0"/>
  <pageMargins left="0.75" right="0.75" top="1" bottom="1" header="0.5" footer="0.5"/>
  <pageSetup orientation="portrait" r:id="rId1"/>
  <headerFooter alignWithMargins="0">
    <oddHeader>&amp;F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utton 30">
              <controlPr defaultSize="0" print="0" autoFill="0" autoPict="0" macro="[0]!FixMe">
                <anchor moveWithCells="1" sizeWithCells="1">
                  <from>
                    <xdr:col>20</xdr:col>
                    <xdr:colOff>133350</xdr:colOff>
                    <xdr:row>37</xdr:row>
                    <xdr:rowOff>28575</xdr:rowOff>
                  </from>
                  <to>
                    <xdr:col>21</xdr:col>
                    <xdr:colOff>409575</xdr:colOff>
                    <xdr:row>38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5" name="Drop Down 67">
              <controlPr defaultSize="0" autoLine="0" autoPict="0">
                <anchor moveWithCells="1">
                  <from>
                    <xdr:col>19</xdr:col>
                    <xdr:colOff>600075</xdr:colOff>
                    <xdr:row>1</xdr:row>
                    <xdr:rowOff>0</xdr:rowOff>
                  </from>
                  <to>
                    <xdr:col>20</xdr:col>
                    <xdr:colOff>419100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" name="Scroll Bar 69">
              <controlPr defaultSize="0" autoPict="0">
                <anchor moveWithCells="1">
                  <from>
                    <xdr:col>6</xdr:col>
                    <xdr:colOff>161925</xdr:colOff>
                    <xdr:row>3</xdr:row>
                    <xdr:rowOff>38100</xdr:rowOff>
                  </from>
                  <to>
                    <xdr:col>9</xdr:col>
                    <xdr:colOff>19050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78"/>
  <sheetViews>
    <sheetView topLeftCell="C20" workbookViewId="0">
      <selection activeCell="J53" sqref="J53"/>
    </sheetView>
  </sheetViews>
  <sheetFormatPr defaultRowHeight="12.75" x14ac:dyDescent="0.2"/>
  <cols>
    <col min="4" max="4" width="13.85546875" customWidth="1"/>
    <col min="5" max="5" width="15.7109375" customWidth="1"/>
    <col min="6" max="15" width="9.28515625" bestFit="1" customWidth="1"/>
    <col min="16" max="22" width="9.42578125" bestFit="1" customWidth="1"/>
  </cols>
  <sheetData>
    <row r="1" spans="4:22" x14ac:dyDescent="0.2">
      <c r="D1" t="s">
        <v>9</v>
      </c>
      <c r="E1" t="s">
        <v>9</v>
      </c>
      <c r="F1" t="s">
        <v>9</v>
      </c>
      <c r="G1" t="s">
        <v>9</v>
      </c>
      <c r="H1" t="s">
        <v>9</v>
      </c>
      <c r="I1" t="s">
        <v>9</v>
      </c>
      <c r="J1" t="s">
        <v>9</v>
      </c>
      <c r="K1" t="s">
        <v>9</v>
      </c>
      <c r="L1" t="s">
        <v>9</v>
      </c>
      <c r="M1" t="s">
        <v>9</v>
      </c>
      <c r="N1" t="s">
        <v>9</v>
      </c>
      <c r="O1" t="s">
        <v>9</v>
      </c>
      <c r="P1" t="s">
        <v>9</v>
      </c>
      <c r="Q1" t="s">
        <v>9</v>
      </c>
      <c r="R1" t="s">
        <v>9</v>
      </c>
      <c r="S1" t="s">
        <v>9</v>
      </c>
      <c r="T1" t="s">
        <v>9</v>
      </c>
      <c r="U1" t="s">
        <v>9</v>
      </c>
      <c r="V1" t="s">
        <v>9</v>
      </c>
    </row>
    <row r="2" spans="4:22" x14ac:dyDescent="0.2"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1</v>
      </c>
      <c r="S2">
        <v>0</v>
      </c>
      <c r="T2">
        <v>0</v>
      </c>
      <c r="U2">
        <v>1</v>
      </c>
      <c r="V2">
        <v>4</v>
      </c>
    </row>
    <row r="3" spans="4:22" x14ac:dyDescent="0.2"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</row>
    <row r="4" spans="4:22" x14ac:dyDescent="0.2"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</row>
    <row r="5" spans="4:22" x14ac:dyDescent="0.2"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</row>
    <row r="6" spans="4:22" x14ac:dyDescent="0.2">
      <c r="D6">
        <v>0</v>
      </c>
      <c r="E6">
        <v>0</v>
      </c>
      <c r="F6">
        <v>1</v>
      </c>
      <c r="G6">
        <v>0</v>
      </c>
      <c r="H6">
        <v>2</v>
      </c>
      <c r="I6">
        <v>2</v>
      </c>
      <c r="J6">
        <v>0</v>
      </c>
      <c r="K6">
        <v>2</v>
      </c>
      <c r="L6">
        <v>0</v>
      </c>
      <c r="M6">
        <v>1</v>
      </c>
      <c r="N6">
        <v>2</v>
      </c>
      <c r="O6">
        <v>0</v>
      </c>
      <c r="P6">
        <v>2</v>
      </c>
      <c r="Q6">
        <v>6</v>
      </c>
      <c r="R6">
        <v>6</v>
      </c>
      <c r="S6">
        <v>11</v>
      </c>
      <c r="T6">
        <v>14</v>
      </c>
      <c r="U6">
        <v>16</v>
      </c>
      <c r="V6">
        <v>16</v>
      </c>
    </row>
    <row r="7" spans="4:22" x14ac:dyDescent="0.2"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0</v>
      </c>
      <c r="O7">
        <v>0</v>
      </c>
      <c r="P7">
        <v>1</v>
      </c>
      <c r="Q7">
        <v>0</v>
      </c>
      <c r="R7">
        <v>1</v>
      </c>
      <c r="S7">
        <v>0</v>
      </c>
      <c r="T7">
        <v>0</v>
      </c>
      <c r="U7">
        <v>0</v>
      </c>
      <c r="V7">
        <v>0</v>
      </c>
    </row>
    <row r="8" spans="4:22" x14ac:dyDescent="0.2"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</row>
    <row r="9" spans="4:22" x14ac:dyDescent="0.2"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</row>
    <row r="10" spans="4:22" x14ac:dyDescent="0.2"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</row>
    <row r="11" spans="4:22" x14ac:dyDescent="0.2">
      <c r="D11">
        <v>0</v>
      </c>
      <c r="E11">
        <v>0</v>
      </c>
      <c r="F11">
        <v>0</v>
      </c>
      <c r="G11">
        <v>1</v>
      </c>
      <c r="H11">
        <v>0</v>
      </c>
      <c r="I11">
        <v>0</v>
      </c>
      <c r="J11">
        <v>0</v>
      </c>
      <c r="K11">
        <v>0</v>
      </c>
      <c r="L11">
        <v>2</v>
      </c>
      <c r="M11">
        <v>1</v>
      </c>
      <c r="N11">
        <v>0</v>
      </c>
      <c r="O11">
        <v>2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</row>
    <row r="12" spans="4:22" x14ac:dyDescent="0.2"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</row>
    <row r="13" spans="4:22" x14ac:dyDescent="0.2"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3</v>
      </c>
      <c r="N13">
        <v>5</v>
      </c>
      <c r="O13">
        <v>5</v>
      </c>
      <c r="P13">
        <v>5</v>
      </c>
      <c r="Q13">
        <v>5</v>
      </c>
      <c r="R13">
        <v>4</v>
      </c>
      <c r="S13">
        <v>5</v>
      </c>
      <c r="T13">
        <v>5</v>
      </c>
      <c r="U13">
        <v>5</v>
      </c>
      <c r="V13">
        <v>5</v>
      </c>
    </row>
    <row r="14" spans="4:22" x14ac:dyDescent="0.2"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2</v>
      </c>
      <c r="P14">
        <v>2</v>
      </c>
      <c r="Q14">
        <v>3</v>
      </c>
      <c r="R14">
        <v>5</v>
      </c>
      <c r="S14">
        <v>5</v>
      </c>
      <c r="T14">
        <v>5</v>
      </c>
      <c r="U14">
        <v>5</v>
      </c>
      <c r="V14">
        <v>5</v>
      </c>
    </row>
    <row r="15" spans="4:22" x14ac:dyDescent="0.2"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1</v>
      </c>
      <c r="N15">
        <v>1</v>
      </c>
      <c r="O15">
        <v>0</v>
      </c>
      <c r="P15">
        <v>2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</row>
    <row r="16" spans="4:22" x14ac:dyDescent="0.2"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</row>
    <row r="17" spans="1:23" x14ac:dyDescent="0.2"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3</v>
      </c>
      <c r="K17">
        <v>0</v>
      </c>
      <c r="L17">
        <v>2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</v>
      </c>
      <c r="U17">
        <v>0</v>
      </c>
      <c r="V17">
        <v>0</v>
      </c>
    </row>
    <row r="18" spans="1:23" x14ac:dyDescent="0.2">
      <c r="D18">
        <v>0</v>
      </c>
      <c r="E18">
        <v>0</v>
      </c>
      <c r="F18">
        <v>0</v>
      </c>
      <c r="G18">
        <v>0</v>
      </c>
      <c r="H18">
        <v>0</v>
      </c>
      <c r="I18">
        <v>2</v>
      </c>
      <c r="J18">
        <v>4</v>
      </c>
      <c r="K18">
        <v>5</v>
      </c>
      <c r="L18">
        <v>6</v>
      </c>
      <c r="M18">
        <v>5</v>
      </c>
      <c r="N18">
        <v>6</v>
      </c>
      <c r="O18">
        <v>6</v>
      </c>
      <c r="P18">
        <v>6</v>
      </c>
      <c r="Q18">
        <v>7</v>
      </c>
      <c r="R18">
        <v>6</v>
      </c>
      <c r="S18">
        <v>5</v>
      </c>
      <c r="T18">
        <v>4</v>
      </c>
      <c r="U18">
        <v>5</v>
      </c>
      <c r="V18">
        <v>5</v>
      </c>
    </row>
    <row r="19" spans="1:23" x14ac:dyDescent="0.2"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</row>
    <row r="20" spans="1:23" x14ac:dyDescent="0.2"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</row>
    <row r="21" spans="1:23" x14ac:dyDescent="0.2">
      <c r="D21">
        <v>0</v>
      </c>
      <c r="E21">
        <v>0</v>
      </c>
      <c r="F21">
        <v>0</v>
      </c>
      <c r="G21">
        <v>0</v>
      </c>
      <c r="H21">
        <v>1</v>
      </c>
      <c r="I21">
        <v>1</v>
      </c>
      <c r="J21">
        <v>1</v>
      </c>
      <c r="K21">
        <v>1</v>
      </c>
      <c r="L21">
        <v>0</v>
      </c>
      <c r="M21">
        <v>1</v>
      </c>
      <c r="N21">
        <v>1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</row>
    <row r="22" spans="1:23" x14ac:dyDescent="0.2"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</row>
    <row r="23" spans="1:23" x14ac:dyDescent="0.2"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</row>
    <row r="24" spans="1:23" x14ac:dyDescent="0.2"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</row>
    <row r="25" spans="1:23" x14ac:dyDescent="0.2">
      <c r="B25">
        <f>'Detailed Model'!H4</f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1</v>
      </c>
      <c r="M25">
        <v>0</v>
      </c>
      <c r="N25">
        <v>0</v>
      </c>
      <c r="O25">
        <v>1</v>
      </c>
      <c r="P25">
        <v>0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</row>
    <row r="26" spans="1:23" x14ac:dyDescent="0.2"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1</v>
      </c>
      <c r="Q26">
        <v>1</v>
      </c>
      <c r="R26">
        <v>1</v>
      </c>
      <c r="S26">
        <v>1</v>
      </c>
      <c r="T26">
        <v>1</v>
      </c>
      <c r="U26">
        <v>1</v>
      </c>
      <c r="V26">
        <v>1</v>
      </c>
    </row>
    <row r="27" spans="1:23" x14ac:dyDescent="0.2">
      <c r="D27">
        <v>0</v>
      </c>
      <c r="E27">
        <v>1</v>
      </c>
      <c r="F27">
        <v>2</v>
      </c>
      <c r="G27">
        <v>3</v>
      </c>
      <c r="H27">
        <v>3</v>
      </c>
      <c r="I27">
        <v>3</v>
      </c>
      <c r="J27">
        <v>2</v>
      </c>
      <c r="K27">
        <v>3</v>
      </c>
      <c r="L27">
        <v>2</v>
      </c>
      <c r="M27">
        <v>3</v>
      </c>
      <c r="N27">
        <v>3</v>
      </c>
      <c r="O27">
        <v>3</v>
      </c>
      <c r="P27">
        <v>3</v>
      </c>
      <c r="Q27">
        <v>2</v>
      </c>
      <c r="R27">
        <v>2</v>
      </c>
      <c r="S27">
        <v>1</v>
      </c>
      <c r="T27">
        <v>0</v>
      </c>
      <c r="U27">
        <v>0</v>
      </c>
      <c r="V27">
        <v>0</v>
      </c>
    </row>
    <row r="28" spans="1:23" x14ac:dyDescent="0.2"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1</v>
      </c>
      <c r="T28">
        <v>2</v>
      </c>
      <c r="U28">
        <v>2</v>
      </c>
      <c r="V28">
        <v>2</v>
      </c>
    </row>
    <row r="29" spans="1:23" s="1" customFormat="1" x14ac:dyDescent="0.2">
      <c r="D29" s="21">
        <f t="shared" ref="D29:V29" si="0">SUMPRODUCT(D2:D28,Costs)</f>
        <v>0</v>
      </c>
      <c r="E29" s="21">
        <f t="shared" si="0"/>
        <v>80</v>
      </c>
      <c r="F29" s="21">
        <f t="shared" si="0"/>
        <v>190</v>
      </c>
      <c r="G29" s="21">
        <f t="shared" si="0"/>
        <v>290</v>
      </c>
      <c r="H29" s="21">
        <f t="shared" si="0"/>
        <v>390</v>
      </c>
      <c r="I29" s="21">
        <f t="shared" si="0"/>
        <v>490</v>
      </c>
      <c r="J29" s="21">
        <f t="shared" si="0"/>
        <v>600</v>
      </c>
      <c r="K29" s="21">
        <f t="shared" si="0"/>
        <v>690</v>
      </c>
      <c r="L29" s="21">
        <f t="shared" si="0"/>
        <v>800</v>
      </c>
      <c r="M29" s="21">
        <f t="shared" si="0"/>
        <v>900</v>
      </c>
      <c r="N29" s="21">
        <f t="shared" si="0"/>
        <v>990</v>
      </c>
      <c r="O29" s="21">
        <f t="shared" si="0"/>
        <v>1100</v>
      </c>
      <c r="P29" s="21">
        <f t="shared" si="0"/>
        <v>1200</v>
      </c>
      <c r="Q29" s="21">
        <f t="shared" si="0"/>
        <v>1300</v>
      </c>
      <c r="R29" s="21">
        <f t="shared" si="0"/>
        <v>1400</v>
      </c>
      <c r="S29" s="21">
        <f t="shared" si="0"/>
        <v>1490</v>
      </c>
      <c r="T29" s="21">
        <f t="shared" si="0"/>
        <v>1600</v>
      </c>
      <c r="U29" s="21">
        <f t="shared" si="0"/>
        <v>1700</v>
      </c>
      <c r="V29" s="21">
        <f t="shared" si="0"/>
        <v>1820</v>
      </c>
      <c r="W29"/>
    </row>
    <row r="30" spans="1:23" s="36" customFormat="1" x14ac:dyDescent="0.2">
      <c r="D30" s="46">
        <f>AVERAGE(Shortfall01)</f>
        <v>56</v>
      </c>
      <c r="E30" s="47">
        <f>AVERAGE(Shortfall02)</f>
        <v>52</v>
      </c>
      <c r="F30" s="47">
        <f>AVERAGE(Shortfall03)</f>
        <v>47</v>
      </c>
      <c r="G30" s="47">
        <f>AVERAGE(Shortfall04)</f>
        <v>42</v>
      </c>
      <c r="H30" s="47">
        <f>AVERAGE(Shortfall05)</f>
        <v>38</v>
      </c>
      <c r="I30" s="47">
        <f>AVERAGE(Shortfall06)</f>
        <v>34</v>
      </c>
      <c r="J30" s="47">
        <f>AVERAGE(Shortfall07)</f>
        <v>30</v>
      </c>
      <c r="K30" s="47">
        <f>AVERAGE(Shortfall08)</f>
        <v>26.6</v>
      </c>
      <c r="L30" s="47">
        <f>AVERAGE(Shortfall09)</f>
        <v>24</v>
      </c>
      <c r="M30" s="47">
        <f>AVERAGE(Shortfall10)</f>
        <v>21.6</v>
      </c>
      <c r="N30" s="47">
        <f>AVERAGE(Shortfall11)</f>
        <v>19.2</v>
      </c>
      <c r="O30" s="47">
        <f>AVERAGE(Shortfall12)</f>
        <v>16.8</v>
      </c>
      <c r="P30" s="47">
        <f>AVERAGE(Shortfall13)</f>
        <v>15.2</v>
      </c>
      <c r="Q30" s="47">
        <f>AVERAGE(Shortfall14)</f>
        <v>13.6</v>
      </c>
      <c r="R30" s="47">
        <f>AVERAGE(Shortfall15)</f>
        <v>12.2</v>
      </c>
      <c r="S30" s="47">
        <f>AVERAGE(Shortfall16)</f>
        <v>10.8</v>
      </c>
      <c r="T30" s="47">
        <f>AVERAGE(Shortfall17)</f>
        <v>9.6</v>
      </c>
      <c r="U30" s="47">
        <f>AVERAGE(Shortfall18)</f>
        <v>8.4</v>
      </c>
      <c r="V30" s="47">
        <f>AVERAGE(Shortfall19)</f>
        <v>7.2</v>
      </c>
    </row>
    <row r="31" spans="1:23" x14ac:dyDescent="0.2">
      <c r="A31" s="34">
        <f>'Detailed Model'!K$5</f>
        <v>10</v>
      </c>
      <c r="B31" s="35" t="s">
        <v>0</v>
      </c>
      <c r="C31" s="37">
        <f>A31</f>
        <v>10</v>
      </c>
      <c r="D31">
        <f t="shared" ref="D31:V31" si="1">SUMPRODUCT(D$2:D$28,LocA)</f>
        <v>0</v>
      </c>
      <c r="E31">
        <f t="shared" si="1"/>
        <v>0</v>
      </c>
      <c r="F31">
        <f t="shared" si="1"/>
        <v>0</v>
      </c>
      <c r="G31">
        <f t="shared" si="1"/>
        <v>0</v>
      </c>
      <c r="H31">
        <f t="shared" si="1"/>
        <v>0</v>
      </c>
      <c r="I31">
        <f t="shared" si="1"/>
        <v>0</v>
      </c>
      <c r="J31">
        <f t="shared" si="1"/>
        <v>0</v>
      </c>
      <c r="K31">
        <f t="shared" si="1"/>
        <v>0</v>
      </c>
      <c r="L31">
        <f t="shared" si="1"/>
        <v>2</v>
      </c>
      <c r="M31">
        <f t="shared" si="1"/>
        <v>6</v>
      </c>
      <c r="N31">
        <f t="shared" si="1"/>
        <v>10</v>
      </c>
      <c r="O31">
        <f t="shared" si="1"/>
        <v>10</v>
      </c>
      <c r="P31">
        <f t="shared" si="1"/>
        <v>10</v>
      </c>
      <c r="Q31">
        <f t="shared" si="1"/>
        <v>10</v>
      </c>
      <c r="R31">
        <f t="shared" si="1"/>
        <v>9</v>
      </c>
      <c r="S31">
        <f t="shared" si="1"/>
        <v>10</v>
      </c>
      <c r="T31">
        <f t="shared" si="1"/>
        <v>10</v>
      </c>
      <c r="U31">
        <f t="shared" si="1"/>
        <v>11</v>
      </c>
      <c r="V31">
        <f t="shared" si="1"/>
        <v>14</v>
      </c>
    </row>
    <row r="32" spans="1:23" x14ac:dyDescent="0.2">
      <c r="A32" s="34">
        <f>'Detailed Model'!L$5</f>
        <v>10</v>
      </c>
      <c r="B32" s="35" t="s">
        <v>1</v>
      </c>
      <c r="C32" s="37">
        <f t="shared" ref="C32:C36" si="2">A32</f>
        <v>10</v>
      </c>
      <c r="D32">
        <f t="shared" ref="D32:V32" si="3">SUMPRODUCT(D$2:D$28,LocB)</f>
        <v>0</v>
      </c>
      <c r="E32">
        <f t="shared" si="3"/>
        <v>0</v>
      </c>
      <c r="F32">
        <f t="shared" si="3"/>
        <v>0</v>
      </c>
      <c r="G32">
        <f t="shared" si="3"/>
        <v>0</v>
      </c>
      <c r="H32">
        <f t="shared" si="3"/>
        <v>0</v>
      </c>
      <c r="I32">
        <f t="shared" si="3"/>
        <v>0</v>
      </c>
      <c r="J32">
        <f t="shared" si="3"/>
        <v>0</v>
      </c>
      <c r="K32">
        <f t="shared" si="3"/>
        <v>0</v>
      </c>
      <c r="L32">
        <f t="shared" si="3"/>
        <v>0</v>
      </c>
      <c r="M32">
        <f t="shared" si="3"/>
        <v>0</v>
      </c>
      <c r="N32">
        <f t="shared" si="3"/>
        <v>0</v>
      </c>
      <c r="O32">
        <f t="shared" si="3"/>
        <v>4</v>
      </c>
      <c r="P32">
        <f t="shared" si="3"/>
        <v>4</v>
      </c>
      <c r="Q32">
        <f t="shared" si="3"/>
        <v>6</v>
      </c>
      <c r="R32">
        <f t="shared" si="3"/>
        <v>10</v>
      </c>
      <c r="S32">
        <f t="shared" si="3"/>
        <v>10</v>
      </c>
      <c r="T32">
        <f t="shared" si="3"/>
        <v>10</v>
      </c>
      <c r="U32">
        <f t="shared" si="3"/>
        <v>10</v>
      </c>
      <c r="V32">
        <f t="shared" si="3"/>
        <v>10</v>
      </c>
    </row>
    <row r="33" spans="1:22" x14ac:dyDescent="0.2">
      <c r="A33" s="34">
        <f>'Detailed Model'!M$5</f>
        <v>4</v>
      </c>
      <c r="B33" s="35" t="s">
        <v>2</v>
      </c>
      <c r="C33" s="37">
        <f t="shared" si="2"/>
        <v>4</v>
      </c>
      <c r="D33">
        <f t="shared" ref="D33:V33" si="4">SUMPRODUCT(D$2:D$28,LocC)</f>
        <v>0</v>
      </c>
      <c r="E33">
        <f t="shared" si="4"/>
        <v>0</v>
      </c>
      <c r="F33">
        <f t="shared" si="4"/>
        <v>0</v>
      </c>
      <c r="G33">
        <f t="shared" si="4"/>
        <v>0</v>
      </c>
      <c r="H33">
        <f t="shared" si="4"/>
        <v>2</v>
      </c>
      <c r="I33">
        <f t="shared" si="4"/>
        <v>2</v>
      </c>
      <c r="J33">
        <f t="shared" si="4"/>
        <v>2</v>
      </c>
      <c r="K33">
        <f t="shared" si="4"/>
        <v>4</v>
      </c>
      <c r="L33">
        <f t="shared" si="4"/>
        <v>4</v>
      </c>
      <c r="M33">
        <f t="shared" si="4"/>
        <v>4</v>
      </c>
      <c r="N33">
        <f t="shared" si="4"/>
        <v>4</v>
      </c>
      <c r="O33">
        <f t="shared" si="4"/>
        <v>4</v>
      </c>
      <c r="P33">
        <f t="shared" si="4"/>
        <v>4</v>
      </c>
      <c r="Q33">
        <f t="shared" si="4"/>
        <v>4</v>
      </c>
      <c r="R33">
        <f t="shared" si="4"/>
        <v>4</v>
      </c>
      <c r="S33">
        <f t="shared" si="4"/>
        <v>4</v>
      </c>
      <c r="T33">
        <f t="shared" si="4"/>
        <v>4</v>
      </c>
      <c r="U33">
        <f t="shared" si="4"/>
        <v>4</v>
      </c>
      <c r="V33">
        <f t="shared" si="4"/>
        <v>4</v>
      </c>
    </row>
    <row r="34" spans="1:22" x14ac:dyDescent="0.2">
      <c r="A34" s="34">
        <f>'Detailed Model'!N$5</f>
        <v>3</v>
      </c>
      <c r="B34" s="35" t="s">
        <v>3</v>
      </c>
      <c r="C34" s="37">
        <f t="shared" si="2"/>
        <v>3</v>
      </c>
      <c r="D34">
        <f t="shared" ref="D34:V34" si="5">SUMPRODUCT(D$2:D$28,LocD)</f>
        <v>0</v>
      </c>
      <c r="E34">
        <f t="shared" si="5"/>
        <v>0</v>
      </c>
      <c r="F34">
        <f t="shared" si="5"/>
        <v>0</v>
      </c>
      <c r="G34">
        <f t="shared" si="5"/>
        <v>1</v>
      </c>
      <c r="H34">
        <f t="shared" si="5"/>
        <v>2</v>
      </c>
      <c r="I34">
        <f t="shared" si="5"/>
        <v>2</v>
      </c>
      <c r="J34">
        <f t="shared" si="5"/>
        <v>2</v>
      </c>
      <c r="K34">
        <f t="shared" si="5"/>
        <v>2</v>
      </c>
      <c r="L34">
        <f t="shared" si="5"/>
        <v>2</v>
      </c>
      <c r="M34">
        <f t="shared" si="5"/>
        <v>3</v>
      </c>
      <c r="N34">
        <f t="shared" si="5"/>
        <v>2</v>
      </c>
      <c r="O34">
        <f t="shared" si="5"/>
        <v>2</v>
      </c>
      <c r="P34">
        <f t="shared" si="5"/>
        <v>4</v>
      </c>
      <c r="Q34">
        <f t="shared" si="5"/>
        <v>4</v>
      </c>
      <c r="R34">
        <f t="shared" si="5"/>
        <v>4</v>
      </c>
      <c r="S34">
        <f t="shared" si="5"/>
        <v>4</v>
      </c>
      <c r="T34">
        <f t="shared" si="5"/>
        <v>4</v>
      </c>
      <c r="U34">
        <f t="shared" si="5"/>
        <v>4</v>
      </c>
      <c r="V34">
        <f t="shared" si="5"/>
        <v>4</v>
      </c>
    </row>
    <row r="35" spans="1:22" x14ac:dyDescent="0.2">
      <c r="A35" s="34">
        <f>'Detailed Model'!O$5</f>
        <v>15</v>
      </c>
      <c r="B35" s="35" t="s">
        <v>4</v>
      </c>
      <c r="C35" s="37">
        <f t="shared" si="2"/>
        <v>15</v>
      </c>
      <c r="D35">
        <f t="shared" ref="D35:V35" si="6">SUMPRODUCT(D$2:D$28,LocE)</f>
        <v>0</v>
      </c>
      <c r="E35">
        <f t="shared" si="6"/>
        <v>4</v>
      </c>
      <c r="F35">
        <f t="shared" si="6"/>
        <v>9</v>
      </c>
      <c r="G35">
        <f t="shared" si="6"/>
        <v>13</v>
      </c>
      <c r="H35">
        <f t="shared" si="6"/>
        <v>14</v>
      </c>
      <c r="I35">
        <f t="shared" si="6"/>
        <v>14</v>
      </c>
      <c r="J35">
        <f t="shared" si="6"/>
        <v>14</v>
      </c>
      <c r="K35">
        <f t="shared" si="6"/>
        <v>14</v>
      </c>
      <c r="L35">
        <f t="shared" si="6"/>
        <v>14</v>
      </c>
      <c r="M35">
        <f t="shared" si="6"/>
        <v>14</v>
      </c>
      <c r="N35">
        <f t="shared" si="6"/>
        <v>14</v>
      </c>
      <c r="O35">
        <f t="shared" si="6"/>
        <v>14</v>
      </c>
      <c r="P35">
        <f t="shared" si="6"/>
        <v>14</v>
      </c>
      <c r="Q35">
        <f t="shared" si="6"/>
        <v>14</v>
      </c>
      <c r="R35">
        <f t="shared" si="6"/>
        <v>14</v>
      </c>
      <c r="S35">
        <f t="shared" si="6"/>
        <v>15</v>
      </c>
      <c r="T35">
        <f t="shared" si="6"/>
        <v>16</v>
      </c>
      <c r="U35">
        <f t="shared" si="6"/>
        <v>16</v>
      </c>
      <c r="V35">
        <f t="shared" si="6"/>
        <v>16</v>
      </c>
    </row>
    <row r="36" spans="1:22" x14ac:dyDescent="0.2">
      <c r="A36" s="34">
        <f>'Detailed Model'!P$5</f>
        <v>14</v>
      </c>
      <c r="B36" s="35" t="s">
        <v>5</v>
      </c>
      <c r="C36" s="37">
        <f t="shared" si="2"/>
        <v>14</v>
      </c>
      <c r="D36">
        <f t="shared" ref="D36:V36" si="7">SUMPRODUCT(D$2:D$28,LocF)</f>
        <v>0</v>
      </c>
      <c r="E36">
        <f t="shared" si="7"/>
        <v>0</v>
      </c>
      <c r="F36">
        <f t="shared" si="7"/>
        <v>0</v>
      </c>
      <c r="G36">
        <f t="shared" si="7"/>
        <v>0</v>
      </c>
      <c r="H36">
        <f t="shared" si="7"/>
        <v>0</v>
      </c>
      <c r="I36">
        <f t="shared" si="7"/>
        <v>4</v>
      </c>
      <c r="J36">
        <f t="shared" si="7"/>
        <v>8</v>
      </c>
      <c r="K36">
        <f t="shared" si="7"/>
        <v>10</v>
      </c>
      <c r="L36">
        <f t="shared" si="7"/>
        <v>12</v>
      </c>
      <c r="M36">
        <f t="shared" si="7"/>
        <v>11</v>
      </c>
      <c r="N36">
        <f t="shared" si="7"/>
        <v>12</v>
      </c>
      <c r="O36">
        <f t="shared" si="7"/>
        <v>12</v>
      </c>
      <c r="P36">
        <f t="shared" si="7"/>
        <v>13</v>
      </c>
      <c r="Q36">
        <f t="shared" si="7"/>
        <v>14</v>
      </c>
      <c r="R36">
        <f t="shared" si="7"/>
        <v>13</v>
      </c>
      <c r="S36">
        <f t="shared" si="7"/>
        <v>14</v>
      </c>
      <c r="T36">
        <f t="shared" si="7"/>
        <v>16</v>
      </c>
      <c r="U36">
        <f t="shared" si="7"/>
        <v>18</v>
      </c>
      <c r="V36">
        <f t="shared" si="7"/>
        <v>18</v>
      </c>
    </row>
    <row r="37" spans="1:22" s="38" customFormat="1" x14ac:dyDescent="0.2">
      <c r="C37" s="39" t="s">
        <v>18</v>
      </c>
      <c r="D37" s="40">
        <f>$C31-D31</f>
        <v>10</v>
      </c>
      <c r="E37" s="40">
        <f t="shared" ref="E37:I37" si="8">$C31-E31</f>
        <v>10</v>
      </c>
      <c r="F37" s="40">
        <f t="shared" si="8"/>
        <v>10</v>
      </c>
      <c r="G37" s="40">
        <f t="shared" si="8"/>
        <v>10</v>
      </c>
      <c r="H37" s="40">
        <f t="shared" si="8"/>
        <v>10</v>
      </c>
      <c r="I37" s="40">
        <f t="shared" si="8"/>
        <v>10</v>
      </c>
      <c r="J37" s="40">
        <f t="shared" ref="J37:L37" si="9">$C31-J31</f>
        <v>10</v>
      </c>
      <c r="K37" s="40">
        <f t="shared" si="9"/>
        <v>10</v>
      </c>
      <c r="L37" s="40">
        <f t="shared" si="9"/>
        <v>8</v>
      </c>
      <c r="M37" s="40">
        <f t="shared" ref="M37:V37" si="10">$C31-M31</f>
        <v>4</v>
      </c>
      <c r="N37" s="40">
        <f t="shared" si="10"/>
        <v>0</v>
      </c>
      <c r="O37" s="40">
        <f t="shared" si="10"/>
        <v>0</v>
      </c>
      <c r="P37" s="40">
        <f t="shared" si="10"/>
        <v>0</v>
      </c>
      <c r="Q37" s="40">
        <f t="shared" si="10"/>
        <v>0</v>
      </c>
      <c r="R37" s="40">
        <f t="shared" si="10"/>
        <v>1</v>
      </c>
      <c r="S37" s="40">
        <f t="shared" si="10"/>
        <v>0</v>
      </c>
      <c r="T37" s="40">
        <f t="shared" si="10"/>
        <v>0</v>
      </c>
      <c r="U37" s="40">
        <f t="shared" si="10"/>
        <v>-1</v>
      </c>
      <c r="V37" s="40">
        <f t="shared" si="10"/>
        <v>-4</v>
      </c>
    </row>
    <row r="38" spans="1:22" s="38" customFormat="1" x14ac:dyDescent="0.2">
      <c r="D38" s="40">
        <f t="shared" ref="D38:I42" si="11">$C32-D32</f>
        <v>10</v>
      </c>
      <c r="E38" s="40">
        <f t="shared" si="11"/>
        <v>10</v>
      </c>
      <c r="F38" s="40">
        <f t="shared" si="11"/>
        <v>10</v>
      </c>
      <c r="G38" s="40">
        <f t="shared" si="11"/>
        <v>10</v>
      </c>
      <c r="H38" s="40">
        <f t="shared" si="11"/>
        <v>10</v>
      </c>
      <c r="I38" s="40">
        <f t="shared" si="11"/>
        <v>10</v>
      </c>
      <c r="J38" s="40">
        <f t="shared" ref="J38:L38" si="12">$C32-J32</f>
        <v>10</v>
      </c>
      <c r="K38" s="40">
        <f t="shared" si="12"/>
        <v>10</v>
      </c>
      <c r="L38" s="40">
        <f t="shared" si="12"/>
        <v>10</v>
      </c>
      <c r="M38" s="40">
        <f t="shared" ref="M38:V38" si="13">$C32-M32</f>
        <v>10</v>
      </c>
      <c r="N38" s="40">
        <f t="shared" si="13"/>
        <v>10</v>
      </c>
      <c r="O38" s="40">
        <f t="shared" si="13"/>
        <v>6</v>
      </c>
      <c r="P38" s="40">
        <f t="shared" si="13"/>
        <v>6</v>
      </c>
      <c r="Q38" s="40">
        <f t="shared" si="13"/>
        <v>4</v>
      </c>
      <c r="R38" s="40">
        <f t="shared" si="13"/>
        <v>0</v>
      </c>
      <c r="S38" s="40">
        <f t="shared" si="13"/>
        <v>0</v>
      </c>
      <c r="T38" s="40">
        <f t="shared" si="13"/>
        <v>0</v>
      </c>
      <c r="U38" s="40">
        <f t="shared" si="13"/>
        <v>0</v>
      </c>
      <c r="V38" s="40">
        <f t="shared" si="13"/>
        <v>0</v>
      </c>
    </row>
    <row r="39" spans="1:22" s="38" customFormat="1" x14ac:dyDescent="0.2">
      <c r="D39" s="40">
        <f t="shared" si="11"/>
        <v>4</v>
      </c>
      <c r="E39" s="40">
        <f t="shared" si="11"/>
        <v>4</v>
      </c>
      <c r="F39" s="40">
        <f t="shared" si="11"/>
        <v>4</v>
      </c>
      <c r="G39" s="40">
        <f t="shared" si="11"/>
        <v>4</v>
      </c>
      <c r="H39" s="40">
        <f t="shared" si="11"/>
        <v>2</v>
      </c>
      <c r="I39" s="40">
        <f t="shared" si="11"/>
        <v>2</v>
      </c>
      <c r="J39" s="40">
        <f t="shared" ref="J39:L39" si="14">$C33-J33</f>
        <v>2</v>
      </c>
      <c r="K39" s="40">
        <f t="shared" si="14"/>
        <v>0</v>
      </c>
      <c r="L39" s="40">
        <f t="shared" si="14"/>
        <v>0</v>
      </c>
      <c r="M39" s="40">
        <f t="shared" ref="M39:V39" si="15">$C33-M33</f>
        <v>0</v>
      </c>
      <c r="N39" s="40">
        <f t="shared" si="15"/>
        <v>0</v>
      </c>
      <c r="O39" s="40">
        <f t="shared" si="15"/>
        <v>0</v>
      </c>
      <c r="P39" s="40">
        <f t="shared" si="15"/>
        <v>0</v>
      </c>
      <c r="Q39" s="40">
        <f t="shared" si="15"/>
        <v>0</v>
      </c>
      <c r="R39" s="40">
        <f t="shared" si="15"/>
        <v>0</v>
      </c>
      <c r="S39" s="40">
        <f t="shared" si="15"/>
        <v>0</v>
      </c>
      <c r="T39" s="40">
        <f t="shared" si="15"/>
        <v>0</v>
      </c>
      <c r="U39" s="40">
        <f t="shared" si="15"/>
        <v>0</v>
      </c>
      <c r="V39" s="40">
        <f t="shared" si="15"/>
        <v>0</v>
      </c>
    </row>
    <row r="40" spans="1:22" s="38" customFormat="1" x14ac:dyDescent="0.2">
      <c r="D40" s="40">
        <f t="shared" si="11"/>
        <v>3</v>
      </c>
      <c r="E40" s="40">
        <f t="shared" si="11"/>
        <v>3</v>
      </c>
      <c r="F40" s="40">
        <f t="shared" si="11"/>
        <v>3</v>
      </c>
      <c r="G40" s="40">
        <f t="shared" si="11"/>
        <v>2</v>
      </c>
      <c r="H40" s="40">
        <f t="shared" si="11"/>
        <v>1</v>
      </c>
      <c r="I40" s="40">
        <f t="shared" si="11"/>
        <v>1</v>
      </c>
      <c r="J40" s="40">
        <f t="shared" ref="J40:L40" si="16">$C34-J34</f>
        <v>1</v>
      </c>
      <c r="K40" s="40">
        <f t="shared" si="16"/>
        <v>1</v>
      </c>
      <c r="L40" s="40">
        <f t="shared" si="16"/>
        <v>1</v>
      </c>
      <c r="M40" s="40">
        <f t="shared" ref="M40:V40" si="17">$C34-M34</f>
        <v>0</v>
      </c>
      <c r="N40" s="40">
        <f t="shared" si="17"/>
        <v>1</v>
      </c>
      <c r="O40" s="40">
        <f t="shared" si="17"/>
        <v>1</v>
      </c>
      <c r="P40" s="40">
        <f t="shared" si="17"/>
        <v>-1</v>
      </c>
      <c r="Q40" s="40">
        <f t="shared" si="17"/>
        <v>-1</v>
      </c>
      <c r="R40" s="40">
        <f t="shared" si="17"/>
        <v>-1</v>
      </c>
      <c r="S40" s="40">
        <f t="shared" si="17"/>
        <v>-1</v>
      </c>
      <c r="T40" s="40">
        <f t="shared" si="17"/>
        <v>-1</v>
      </c>
      <c r="U40" s="40">
        <f t="shared" si="17"/>
        <v>-1</v>
      </c>
      <c r="V40" s="40">
        <f t="shared" si="17"/>
        <v>-1</v>
      </c>
    </row>
    <row r="41" spans="1:22" s="38" customFormat="1" x14ac:dyDescent="0.2">
      <c r="D41" s="40">
        <f t="shared" si="11"/>
        <v>15</v>
      </c>
      <c r="E41" s="40">
        <f t="shared" si="11"/>
        <v>11</v>
      </c>
      <c r="F41" s="40">
        <f t="shared" si="11"/>
        <v>6</v>
      </c>
      <c r="G41" s="40">
        <f t="shared" si="11"/>
        <v>2</v>
      </c>
      <c r="H41" s="40">
        <f t="shared" si="11"/>
        <v>1</v>
      </c>
      <c r="I41" s="40">
        <f t="shared" si="11"/>
        <v>1</v>
      </c>
      <c r="J41" s="40">
        <f t="shared" ref="J41:L41" si="18">$C35-J35</f>
        <v>1</v>
      </c>
      <c r="K41" s="40">
        <f t="shared" si="18"/>
        <v>1</v>
      </c>
      <c r="L41" s="40">
        <f t="shared" si="18"/>
        <v>1</v>
      </c>
      <c r="M41" s="40">
        <f t="shared" ref="M41:V41" si="19">$C35-M35</f>
        <v>1</v>
      </c>
      <c r="N41" s="40">
        <f t="shared" si="19"/>
        <v>1</v>
      </c>
      <c r="O41" s="40">
        <f t="shared" si="19"/>
        <v>1</v>
      </c>
      <c r="P41" s="40">
        <f t="shared" si="19"/>
        <v>1</v>
      </c>
      <c r="Q41" s="40">
        <f t="shared" si="19"/>
        <v>1</v>
      </c>
      <c r="R41" s="40">
        <f t="shared" si="19"/>
        <v>1</v>
      </c>
      <c r="S41" s="40">
        <f t="shared" si="19"/>
        <v>0</v>
      </c>
      <c r="T41" s="40">
        <f t="shared" si="19"/>
        <v>-1</v>
      </c>
      <c r="U41" s="40">
        <f t="shared" si="19"/>
        <v>-1</v>
      </c>
      <c r="V41" s="40">
        <f t="shared" si="19"/>
        <v>-1</v>
      </c>
    </row>
    <row r="42" spans="1:22" s="38" customFormat="1" x14ac:dyDescent="0.2">
      <c r="D42" s="40">
        <f t="shared" si="11"/>
        <v>14</v>
      </c>
      <c r="E42" s="40">
        <f t="shared" si="11"/>
        <v>14</v>
      </c>
      <c r="F42" s="40">
        <f t="shared" si="11"/>
        <v>14</v>
      </c>
      <c r="G42" s="40">
        <f t="shared" si="11"/>
        <v>14</v>
      </c>
      <c r="H42" s="40">
        <f t="shared" si="11"/>
        <v>14</v>
      </c>
      <c r="I42" s="40">
        <f t="shared" si="11"/>
        <v>10</v>
      </c>
      <c r="J42" s="40">
        <f t="shared" ref="J42:L42" si="20">$C36-J36</f>
        <v>6</v>
      </c>
      <c r="K42" s="40">
        <f t="shared" si="20"/>
        <v>4</v>
      </c>
      <c r="L42" s="40">
        <f t="shared" si="20"/>
        <v>2</v>
      </c>
      <c r="M42" s="40">
        <f t="shared" ref="M42:V42" si="21">$C36-M36</f>
        <v>3</v>
      </c>
      <c r="N42" s="40">
        <f t="shared" si="21"/>
        <v>2</v>
      </c>
      <c r="O42" s="40">
        <f t="shared" si="21"/>
        <v>2</v>
      </c>
      <c r="P42" s="40">
        <f t="shared" si="21"/>
        <v>1</v>
      </c>
      <c r="Q42" s="40">
        <f t="shared" si="21"/>
        <v>0</v>
      </c>
      <c r="R42" s="40">
        <f t="shared" si="21"/>
        <v>1</v>
      </c>
      <c r="S42" s="40">
        <f t="shared" si="21"/>
        <v>0</v>
      </c>
      <c r="T42" s="40">
        <f t="shared" si="21"/>
        <v>-2</v>
      </c>
      <c r="U42" s="40">
        <f t="shared" si="21"/>
        <v>-4</v>
      </c>
      <c r="V42" s="40">
        <f t="shared" si="21"/>
        <v>-4</v>
      </c>
    </row>
    <row r="43" spans="1:22" s="41" customFormat="1" x14ac:dyDescent="0.2">
      <c r="C43" s="42" t="s">
        <v>6</v>
      </c>
      <c r="D43" s="43">
        <f t="shared" ref="D43:H43" si="22">IF(D37&gt;0,D37,0)</f>
        <v>10</v>
      </c>
      <c r="E43" s="43">
        <f t="shared" si="22"/>
        <v>10</v>
      </c>
      <c r="F43" s="43">
        <f t="shared" si="22"/>
        <v>10</v>
      </c>
      <c r="G43" s="43">
        <f t="shared" si="22"/>
        <v>10</v>
      </c>
      <c r="H43" s="43">
        <f t="shared" si="22"/>
        <v>10</v>
      </c>
      <c r="I43" s="43">
        <f t="shared" ref="I43:J43" si="23">IF(I37&gt;0,I37,0)</f>
        <v>10</v>
      </c>
      <c r="J43" s="43">
        <f t="shared" si="23"/>
        <v>10</v>
      </c>
      <c r="K43" s="43">
        <f t="shared" ref="K43:L43" si="24">IF(K37&gt;0,K37,0)</f>
        <v>10</v>
      </c>
      <c r="L43" s="43">
        <f t="shared" si="24"/>
        <v>8</v>
      </c>
      <c r="M43" s="43">
        <f t="shared" ref="M43:V43" si="25">IF(M37&gt;0,M37,0)</f>
        <v>4</v>
      </c>
      <c r="N43" s="43">
        <f t="shared" si="25"/>
        <v>0</v>
      </c>
      <c r="O43" s="43">
        <f t="shared" si="25"/>
        <v>0</v>
      </c>
      <c r="P43" s="43">
        <f t="shared" si="25"/>
        <v>0</v>
      </c>
      <c r="Q43" s="43">
        <f t="shared" si="25"/>
        <v>0</v>
      </c>
      <c r="R43" s="43">
        <f t="shared" si="25"/>
        <v>1</v>
      </c>
      <c r="S43" s="43">
        <f t="shared" si="25"/>
        <v>0</v>
      </c>
      <c r="T43" s="43">
        <f t="shared" si="25"/>
        <v>0</v>
      </c>
      <c r="U43" s="43">
        <f t="shared" si="25"/>
        <v>0</v>
      </c>
      <c r="V43" s="43">
        <f t="shared" si="25"/>
        <v>0</v>
      </c>
    </row>
    <row r="44" spans="1:22" s="41" customFormat="1" x14ac:dyDescent="0.2">
      <c r="D44" s="43">
        <f t="shared" ref="D44:H44" si="26">IF(D38&gt;0,D38,0)</f>
        <v>10</v>
      </c>
      <c r="E44" s="43">
        <f t="shared" si="26"/>
        <v>10</v>
      </c>
      <c r="F44" s="43">
        <f t="shared" si="26"/>
        <v>10</v>
      </c>
      <c r="G44" s="43">
        <f t="shared" si="26"/>
        <v>10</v>
      </c>
      <c r="H44" s="43">
        <f t="shared" si="26"/>
        <v>10</v>
      </c>
      <c r="I44" s="43">
        <f t="shared" ref="I44:J44" si="27">IF(I38&gt;0,I38,0)</f>
        <v>10</v>
      </c>
      <c r="J44" s="43">
        <f t="shared" si="27"/>
        <v>10</v>
      </c>
      <c r="K44" s="43">
        <f t="shared" ref="K44:L48" si="28">IF(K38&gt;0,K38,0)</f>
        <v>10</v>
      </c>
      <c r="L44" s="43">
        <f t="shared" si="28"/>
        <v>10</v>
      </c>
      <c r="M44" s="43">
        <f t="shared" ref="M44:V44" si="29">IF(M38&gt;0,M38,0)</f>
        <v>10</v>
      </c>
      <c r="N44" s="43">
        <f t="shared" si="29"/>
        <v>10</v>
      </c>
      <c r="O44" s="43">
        <f t="shared" si="29"/>
        <v>6</v>
      </c>
      <c r="P44" s="43">
        <f t="shared" si="29"/>
        <v>6</v>
      </c>
      <c r="Q44" s="43">
        <f t="shared" si="29"/>
        <v>4</v>
      </c>
      <c r="R44" s="43">
        <f t="shared" si="29"/>
        <v>0</v>
      </c>
      <c r="S44" s="43">
        <f t="shared" si="29"/>
        <v>0</v>
      </c>
      <c r="T44" s="43">
        <f t="shared" si="29"/>
        <v>0</v>
      </c>
      <c r="U44" s="43">
        <f t="shared" si="29"/>
        <v>0</v>
      </c>
      <c r="V44" s="43">
        <f t="shared" si="29"/>
        <v>0</v>
      </c>
    </row>
    <row r="45" spans="1:22" s="41" customFormat="1" x14ac:dyDescent="0.2">
      <c r="D45" s="43">
        <f t="shared" ref="D45:H45" si="30">IF(D39&gt;0,D39,0)</f>
        <v>4</v>
      </c>
      <c r="E45" s="43">
        <f t="shared" si="30"/>
        <v>4</v>
      </c>
      <c r="F45" s="43">
        <f t="shared" si="30"/>
        <v>4</v>
      </c>
      <c r="G45" s="43">
        <f t="shared" si="30"/>
        <v>4</v>
      </c>
      <c r="H45" s="43">
        <f t="shared" si="30"/>
        <v>2</v>
      </c>
      <c r="I45" s="43">
        <f t="shared" ref="I45:J45" si="31">IF(I39&gt;0,I39,0)</f>
        <v>2</v>
      </c>
      <c r="J45" s="43">
        <f t="shared" si="31"/>
        <v>2</v>
      </c>
      <c r="K45" s="43">
        <f t="shared" si="28"/>
        <v>0</v>
      </c>
      <c r="L45" s="43">
        <f t="shared" si="28"/>
        <v>0</v>
      </c>
      <c r="M45" s="43">
        <f t="shared" ref="M45:V45" si="32">IF(M39&gt;0,M39,0)</f>
        <v>0</v>
      </c>
      <c r="N45" s="43">
        <f t="shared" si="32"/>
        <v>0</v>
      </c>
      <c r="O45" s="43">
        <f t="shared" si="32"/>
        <v>0</v>
      </c>
      <c r="P45" s="43">
        <f t="shared" si="32"/>
        <v>0</v>
      </c>
      <c r="Q45" s="43">
        <f t="shared" si="32"/>
        <v>0</v>
      </c>
      <c r="R45" s="43">
        <f t="shared" si="32"/>
        <v>0</v>
      </c>
      <c r="S45" s="43">
        <f t="shared" si="32"/>
        <v>0</v>
      </c>
      <c r="T45" s="43">
        <f t="shared" si="32"/>
        <v>0</v>
      </c>
      <c r="U45" s="43">
        <f t="shared" si="32"/>
        <v>0</v>
      </c>
      <c r="V45" s="43">
        <f t="shared" si="32"/>
        <v>0</v>
      </c>
    </row>
    <row r="46" spans="1:22" s="41" customFormat="1" x14ac:dyDescent="0.2">
      <c r="D46" s="43">
        <f t="shared" ref="D46:H46" si="33">IF(D40&gt;0,D40,0)</f>
        <v>3</v>
      </c>
      <c r="E46" s="43">
        <f t="shared" si="33"/>
        <v>3</v>
      </c>
      <c r="F46" s="43">
        <f t="shared" si="33"/>
        <v>3</v>
      </c>
      <c r="G46" s="43">
        <f t="shared" si="33"/>
        <v>2</v>
      </c>
      <c r="H46" s="43">
        <f t="shared" si="33"/>
        <v>1</v>
      </c>
      <c r="I46" s="43">
        <f t="shared" ref="I46:J46" si="34">IF(I40&gt;0,I40,0)</f>
        <v>1</v>
      </c>
      <c r="J46" s="43">
        <f t="shared" si="34"/>
        <v>1</v>
      </c>
      <c r="K46" s="43">
        <f t="shared" si="28"/>
        <v>1</v>
      </c>
      <c r="L46" s="43">
        <f t="shared" si="28"/>
        <v>1</v>
      </c>
      <c r="M46" s="43">
        <f t="shared" ref="M46:V46" si="35">IF(M40&gt;0,M40,0)</f>
        <v>0</v>
      </c>
      <c r="N46" s="43">
        <f t="shared" si="35"/>
        <v>1</v>
      </c>
      <c r="O46" s="43">
        <f t="shared" si="35"/>
        <v>1</v>
      </c>
      <c r="P46" s="43">
        <f t="shared" si="35"/>
        <v>0</v>
      </c>
      <c r="Q46" s="43">
        <f t="shared" si="35"/>
        <v>0</v>
      </c>
      <c r="R46" s="43">
        <f t="shared" si="35"/>
        <v>0</v>
      </c>
      <c r="S46" s="43">
        <f t="shared" si="35"/>
        <v>0</v>
      </c>
      <c r="T46" s="43">
        <f t="shared" si="35"/>
        <v>0</v>
      </c>
      <c r="U46" s="43">
        <f t="shared" si="35"/>
        <v>0</v>
      </c>
      <c r="V46" s="43">
        <f t="shared" si="35"/>
        <v>0</v>
      </c>
    </row>
    <row r="47" spans="1:22" s="41" customFormat="1" x14ac:dyDescent="0.2">
      <c r="D47" s="43">
        <f t="shared" ref="D47:H47" si="36">IF(D41&gt;0,D41,0)</f>
        <v>15</v>
      </c>
      <c r="E47" s="43">
        <f t="shared" si="36"/>
        <v>11</v>
      </c>
      <c r="F47" s="43">
        <f t="shared" si="36"/>
        <v>6</v>
      </c>
      <c r="G47" s="43">
        <f t="shared" si="36"/>
        <v>2</v>
      </c>
      <c r="H47" s="43">
        <f t="shared" si="36"/>
        <v>1</v>
      </c>
      <c r="I47" s="43">
        <f t="shared" ref="I47:J47" si="37">IF(I41&gt;0,I41,0)</f>
        <v>1</v>
      </c>
      <c r="J47" s="43">
        <f t="shared" si="37"/>
        <v>1</v>
      </c>
      <c r="K47" s="43">
        <f t="shared" si="28"/>
        <v>1</v>
      </c>
      <c r="L47" s="43">
        <f t="shared" si="28"/>
        <v>1</v>
      </c>
      <c r="M47" s="43">
        <f t="shared" ref="M47:V47" si="38">IF(M41&gt;0,M41,0)</f>
        <v>1</v>
      </c>
      <c r="N47" s="43">
        <f t="shared" si="38"/>
        <v>1</v>
      </c>
      <c r="O47" s="43">
        <f t="shared" si="38"/>
        <v>1</v>
      </c>
      <c r="P47" s="43">
        <f t="shared" si="38"/>
        <v>1</v>
      </c>
      <c r="Q47" s="43">
        <f t="shared" si="38"/>
        <v>1</v>
      </c>
      <c r="R47" s="43">
        <f t="shared" si="38"/>
        <v>1</v>
      </c>
      <c r="S47" s="43">
        <f t="shared" si="38"/>
        <v>0</v>
      </c>
      <c r="T47" s="43">
        <f t="shared" si="38"/>
        <v>0</v>
      </c>
      <c r="U47" s="43">
        <f t="shared" si="38"/>
        <v>0</v>
      </c>
      <c r="V47" s="43">
        <f t="shared" si="38"/>
        <v>0</v>
      </c>
    </row>
    <row r="48" spans="1:22" s="41" customFormat="1" x14ac:dyDescent="0.2">
      <c r="D48" s="43">
        <f t="shared" ref="D48:H48" si="39">IF(D42&gt;0,D42,0)</f>
        <v>14</v>
      </c>
      <c r="E48" s="43">
        <f t="shared" si="39"/>
        <v>14</v>
      </c>
      <c r="F48" s="43">
        <f t="shared" si="39"/>
        <v>14</v>
      </c>
      <c r="G48" s="43">
        <f t="shared" si="39"/>
        <v>14</v>
      </c>
      <c r="H48" s="43">
        <f t="shared" si="39"/>
        <v>14</v>
      </c>
      <c r="I48" s="43">
        <f t="shared" ref="I48:J48" si="40">IF(I42&gt;0,I42,0)</f>
        <v>10</v>
      </c>
      <c r="J48" s="43">
        <f t="shared" si="40"/>
        <v>6</v>
      </c>
      <c r="K48" s="43">
        <f t="shared" si="28"/>
        <v>4</v>
      </c>
      <c r="L48" s="43">
        <f t="shared" si="28"/>
        <v>2</v>
      </c>
      <c r="M48" s="43">
        <f t="shared" ref="M48:V48" si="41">IF(M42&gt;0,M42,0)</f>
        <v>3</v>
      </c>
      <c r="N48" s="43">
        <f t="shared" si="41"/>
        <v>2</v>
      </c>
      <c r="O48" s="43">
        <f t="shared" si="41"/>
        <v>2</v>
      </c>
      <c r="P48" s="43">
        <f t="shared" si="41"/>
        <v>1</v>
      </c>
      <c r="Q48" s="43">
        <f t="shared" si="41"/>
        <v>0</v>
      </c>
      <c r="R48" s="43">
        <f t="shared" si="41"/>
        <v>1</v>
      </c>
      <c r="S48" s="43">
        <f t="shared" si="41"/>
        <v>0</v>
      </c>
      <c r="T48" s="43">
        <f t="shared" si="41"/>
        <v>0</v>
      </c>
      <c r="U48" s="43">
        <f t="shared" si="41"/>
        <v>0</v>
      </c>
      <c r="V48" s="43">
        <f t="shared" si="41"/>
        <v>0</v>
      </c>
    </row>
    <row r="49" spans="1:22" x14ac:dyDescent="0.2">
      <c r="D49" s="45">
        <f>SUM(D43:D48)</f>
        <v>56</v>
      </c>
      <c r="E49" s="45">
        <f>SUM(E43:E48)</f>
        <v>52</v>
      </c>
      <c r="F49" s="45">
        <f t="shared" ref="F49:V49" si="42">SUM(F43:F48)</f>
        <v>47</v>
      </c>
      <c r="G49" s="45">
        <f t="shared" si="42"/>
        <v>42</v>
      </c>
      <c r="H49" s="45">
        <f t="shared" si="42"/>
        <v>38</v>
      </c>
      <c r="I49" s="45">
        <f t="shared" si="42"/>
        <v>34</v>
      </c>
      <c r="J49" s="45">
        <f t="shared" si="42"/>
        <v>30</v>
      </c>
      <c r="K49" s="45">
        <f t="shared" si="42"/>
        <v>26</v>
      </c>
      <c r="L49" s="45">
        <f t="shared" si="42"/>
        <v>22</v>
      </c>
      <c r="M49" s="45">
        <f t="shared" si="42"/>
        <v>18</v>
      </c>
      <c r="N49" s="45">
        <f t="shared" si="42"/>
        <v>14</v>
      </c>
      <c r="O49" s="45">
        <f t="shared" si="42"/>
        <v>10</v>
      </c>
      <c r="P49" s="45">
        <f t="shared" si="42"/>
        <v>8</v>
      </c>
      <c r="Q49" s="45">
        <f t="shared" si="42"/>
        <v>5</v>
      </c>
      <c r="R49" s="45">
        <f t="shared" si="42"/>
        <v>3</v>
      </c>
      <c r="S49" s="45">
        <f t="shared" si="42"/>
        <v>0</v>
      </c>
      <c r="T49" s="45">
        <f t="shared" si="42"/>
        <v>0</v>
      </c>
      <c r="U49" s="45">
        <f t="shared" si="42"/>
        <v>0</v>
      </c>
      <c r="V49" s="45">
        <f t="shared" si="42"/>
        <v>0</v>
      </c>
    </row>
    <row r="50" spans="1:22" x14ac:dyDescent="0.2">
      <c r="D50" s="35" t="s">
        <v>59</v>
      </c>
      <c r="E50" s="35" t="s">
        <v>60</v>
      </c>
      <c r="F50" s="35" t="s">
        <v>61</v>
      </c>
      <c r="G50" s="35" t="s">
        <v>62</v>
      </c>
      <c r="H50" s="35" t="s">
        <v>63</v>
      </c>
      <c r="I50" s="35" t="s">
        <v>64</v>
      </c>
      <c r="J50" s="35" t="s">
        <v>65</v>
      </c>
      <c r="K50" s="35" t="s">
        <v>66</v>
      </c>
      <c r="L50" s="35" t="s">
        <v>67</v>
      </c>
      <c r="M50" s="35" t="s">
        <v>68</v>
      </c>
      <c r="N50" s="35" t="s">
        <v>69</v>
      </c>
      <c r="O50" s="35" t="s">
        <v>70</v>
      </c>
      <c r="P50" s="35" t="s">
        <v>71</v>
      </c>
      <c r="Q50" s="35" t="s">
        <v>72</v>
      </c>
      <c r="R50" s="35" t="s">
        <v>73</v>
      </c>
      <c r="S50" s="35" t="s">
        <v>74</v>
      </c>
      <c r="T50" s="35" t="s">
        <v>75</v>
      </c>
      <c r="U50" s="35" t="s">
        <v>76</v>
      </c>
      <c r="V50" s="35" t="s">
        <v>77</v>
      </c>
    </row>
    <row r="51" spans="1:22" x14ac:dyDescent="0.2">
      <c r="A51" s="44" t="str">
        <f>'Detailed Model'!G9</f>
        <v>A</v>
      </c>
      <c r="B51" s="44" t="str">
        <f>'Detailed Model'!H9</f>
        <v>B</v>
      </c>
      <c r="C51" s="44" t="str">
        <f>'Detailed Model'!I9</f>
        <v>C</v>
      </c>
      <c r="D51" s="44" t="str">
        <f>'Detailed Model'!J9</f>
        <v>D</v>
      </c>
      <c r="E51" s="44" t="str">
        <f>'Detailed Model'!K9</f>
        <v>E</v>
      </c>
      <c r="F51" s="44" t="str">
        <f>'Detailed Model'!L9</f>
        <v>F</v>
      </c>
    </row>
    <row r="52" spans="1:22" x14ac:dyDescent="0.2">
      <c r="A52" s="44">
        <f>'Detailed Model'!G10</f>
        <v>1</v>
      </c>
      <c r="B52" s="44">
        <f>'Detailed Model'!H10</f>
        <v>0</v>
      </c>
      <c r="C52" s="44">
        <f>'Detailed Model'!I10</f>
        <v>0</v>
      </c>
      <c r="D52" s="44">
        <f>'Detailed Model'!J10</f>
        <v>0</v>
      </c>
      <c r="E52" s="44">
        <f>'Detailed Model'!K10</f>
        <v>0</v>
      </c>
      <c r="F52" s="44">
        <f>'Detailed Model'!L10</f>
        <v>0</v>
      </c>
    </row>
    <row r="53" spans="1:22" x14ac:dyDescent="0.2">
      <c r="A53" s="44">
        <f>'Detailed Model'!G11</f>
        <v>0</v>
      </c>
      <c r="B53" s="44">
        <f>'Detailed Model'!H11</f>
        <v>1</v>
      </c>
      <c r="C53" s="44">
        <f>'Detailed Model'!I11</f>
        <v>0</v>
      </c>
      <c r="D53" s="44">
        <f>'Detailed Model'!J11</f>
        <v>0</v>
      </c>
      <c r="E53" s="44">
        <f>'Detailed Model'!K11</f>
        <v>0</v>
      </c>
      <c r="F53" s="44">
        <f>'Detailed Model'!L11</f>
        <v>0</v>
      </c>
    </row>
    <row r="54" spans="1:22" x14ac:dyDescent="0.2">
      <c r="A54" s="44">
        <f>'Detailed Model'!G12</f>
        <v>0</v>
      </c>
      <c r="B54" s="44">
        <f>'Detailed Model'!H12</f>
        <v>0</v>
      </c>
      <c r="C54" s="44">
        <f>'Detailed Model'!I12</f>
        <v>1</v>
      </c>
      <c r="D54" s="44">
        <f>'Detailed Model'!J12</f>
        <v>0</v>
      </c>
      <c r="E54" s="44">
        <f>'Detailed Model'!K12</f>
        <v>0</v>
      </c>
      <c r="F54" s="44">
        <f>'Detailed Model'!L12</f>
        <v>0</v>
      </c>
    </row>
    <row r="55" spans="1:22" x14ac:dyDescent="0.2">
      <c r="A55" s="44">
        <f>'Detailed Model'!G13</f>
        <v>0</v>
      </c>
      <c r="B55" s="44">
        <f>'Detailed Model'!H13</f>
        <v>0</v>
      </c>
      <c r="C55" s="44">
        <f>'Detailed Model'!I13</f>
        <v>0</v>
      </c>
      <c r="D55" s="44">
        <f>'Detailed Model'!J13</f>
        <v>1</v>
      </c>
      <c r="E55" s="44">
        <f>'Detailed Model'!K13</f>
        <v>0</v>
      </c>
      <c r="F55" s="44">
        <f>'Detailed Model'!L13</f>
        <v>0</v>
      </c>
    </row>
    <row r="56" spans="1:22" x14ac:dyDescent="0.2">
      <c r="A56" s="44">
        <f>'Detailed Model'!G14</f>
        <v>0</v>
      </c>
      <c r="B56" s="44">
        <f>'Detailed Model'!H14</f>
        <v>0</v>
      </c>
      <c r="C56" s="44">
        <f>'Detailed Model'!I14</f>
        <v>0</v>
      </c>
      <c r="D56" s="44">
        <f>'Detailed Model'!J14</f>
        <v>0</v>
      </c>
      <c r="E56" s="44">
        <f>'Detailed Model'!K14</f>
        <v>1</v>
      </c>
      <c r="F56" s="44">
        <f>'Detailed Model'!L14</f>
        <v>0</v>
      </c>
    </row>
    <row r="57" spans="1:22" x14ac:dyDescent="0.2">
      <c r="A57" s="44">
        <f>'Detailed Model'!G15</f>
        <v>0</v>
      </c>
      <c r="B57" s="44">
        <f>'Detailed Model'!H15</f>
        <v>0</v>
      </c>
      <c r="C57" s="44">
        <f>'Detailed Model'!I15</f>
        <v>0</v>
      </c>
      <c r="D57" s="44">
        <f>'Detailed Model'!J15</f>
        <v>0</v>
      </c>
      <c r="E57" s="44">
        <f>'Detailed Model'!K15</f>
        <v>0</v>
      </c>
      <c r="F57" s="44">
        <f>'Detailed Model'!L15</f>
        <v>1</v>
      </c>
    </row>
    <row r="58" spans="1:22" x14ac:dyDescent="0.2">
      <c r="A58" s="44">
        <f>'Detailed Model'!G16</f>
        <v>1</v>
      </c>
      <c r="B58" s="44">
        <f>'Detailed Model'!H16</f>
        <v>1</v>
      </c>
      <c r="C58" s="44">
        <f>'Detailed Model'!I16</f>
        <v>0</v>
      </c>
      <c r="D58" s="44">
        <f>'Detailed Model'!J16</f>
        <v>0</v>
      </c>
      <c r="E58" s="44">
        <f>'Detailed Model'!K16</f>
        <v>0</v>
      </c>
      <c r="F58" s="44">
        <f>'Detailed Model'!L16</f>
        <v>0</v>
      </c>
    </row>
    <row r="59" spans="1:22" x14ac:dyDescent="0.2">
      <c r="A59" s="44">
        <f>'Detailed Model'!G17</f>
        <v>0</v>
      </c>
      <c r="B59" s="44">
        <f>'Detailed Model'!H17</f>
        <v>1</v>
      </c>
      <c r="C59" s="44">
        <f>'Detailed Model'!I17</f>
        <v>1</v>
      </c>
      <c r="D59" s="44">
        <f>'Detailed Model'!J17</f>
        <v>0</v>
      </c>
      <c r="E59" s="44">
        <f>'Detailed Model'!K17</f>
        <v>0</v>
      </c>
      <c r="F59" s="44">
        <f>'Detailed Model'!L17</f>
        <v>0</v>
      </c>
    </row>
    <row r="60" spans="1:22" x14ac:dyDescent="0.2">
      <c r="A60" s="44">
        <f>'Detailed Model'!G18</f>
        <v>0</v>
      </c>
      <c r="B60" s="44">
        <f>'Detailed Model'!H18</f>
        <v>0</v>
      </c>
      <c r="C60" s="44">
        <f>'Detailed Model'!I18</f>
        <v>1</v>
      </c>
      <c r="D60" s="44">
        <f>'Detailed Model'!J18</f>
        <v>1</v>
      </c>
      <c r="E60" s="44">
        <f>'Detailed Model'!K18</f>
        <v>0</v>
      </c>
      <c r="F60" s="44">
        <f>'Detailed Model'!L18</f>
        <v>0</v>
      </c>
    </row>
    <row r="61" spans="1:22" x14ac:dyDescent="0.2">
      <c r="A61" s="44">
        <f>'Detailed Model'!G19</f>
        <v>0</v>
      </c>
      <c r="B61" s="44">
        <f>'Detailed Model'!H19</f>
        <v>0</v>
      </c>
      <c r="C61" s="44">
        <f>'Detailed Model'!I19</f>
        <v>0</v>
      </c>
      <c r="D61" s="44">
        <f>'Detailed Model'!J19</f>
        <v>1</v>
      </c>
      <c r="E61" s="44">
        <f>'Detailed Model'!K19</f>
        <v>1</v>
      </c>
      <c r="F61" s="44">
        <f>'Detailed Model'!L19</f>
        <v>0</v>
      </c>
    </row>
    <row r="62" spans="1:22" x14ac:dyDescent="0.2">
      <c r="A62" s="44">
        <f>'Detailed Model'!G20</f>
        <v>0</v>
      </c>
      <c r="B62" s="44">
        <f>'Detailed Model'!H20</f>
        <v>0</v>
      </c>
      <c r="C62" s="44">
        <f>'Detailed Model'!I20</f>
        <v>0</v>
      </c>
      <c r="D62" s="44">
        <f>'Detailed Model'!J20</f>
        <v>0</v>
      </c>
      <c r="E62" s="44">
        <f>'Detailed Model'!K20</f>
        <v>1</v>
      </c>
      <c r="F62" s="44">
        <f>'Detailed Model'!L20</f>
        <v>1</v>
      </c>
    </row>
    <row r="63" spans="1:22" x14ac:dyDescent="0.2">
      <c r="A63" s="44">
        <f>'Detailed Model'!G21</f>
        <v>2</v>
      </c>
      <c r="B63" s="44">
        <f>'Detailed Model'!H21</f>
        <v>0</v>
      </c>
      <c r="C63" s="44">
        <f>'Detailed Model'!I21</f>
        <v>0</v>
      </c>
      <c r="D63" s="44">
        <f>'Detailed Model'!J21</f>
        <v>0</v>
      </c>
      <c r="E63" s="44">
        <f>'Detailed Model'!K21</f>
        <v>0</v>
      </c>
      <c r="F63" s="44">
        <f>'Detailed Model'!L21</f>
        <v>0</v>
      </c>
    </row>
    <row r="64" spans="1:22" x14ac:dyDescent="0.2">
      <c r="A64" s="44">
        <f>'Detailed Model'!G22</f>
        <v>0</v>
      </c>
      <c r="B64" s="44">
        <f>'Detailed Model'!H22</f>
        <v>2</v>
      </c>
      <c r="C64" s="44">
        <f>'Detailed Model'!I22</f>
        <v>0</v>
      </c>
      <c r="D64" s="44">
        <f>'Detailed Model'!J22</f>
        <v>0</v>
      </c>
      <c r="E64" s="44">
        <f>'Detailed Model'!K22</f>
        <v>0</v>
      </c>
      <c r="F64" s="44">
        <f>'Detailed Model'!L22</f>
        <v>0</v>
      </c>
    </row>
    <row r="65" spans="1:6" x14ac:dyDescent="0.2">
      <c r="A65" s="44">
        <f>'Detailed Model'!G23</f>
        <v>0</v>
      </c>
      <c r="B65" s="44">
        <f>'Detailed Model'!H23</f>
        <v>0</v>
      </c>
      <c r="C65" s="44">
        <f>'Detailed Model'!I23</f>
        <v>2</v>
      </c>
      <c r="D65" s="44">
        <f>'Detailed Model'!J23</f>
        <v>0</v>
      </c>
      <c r="E65" s="44">
        <f>'Detailed Model'!K23</f>
        <v>0</v>
      </c>
      <c r="F65" s="44">
        <f>'Detailed Model'!L23</f>
        <v>0</v>
      </c>
    </row>
    <row r="66" spans="1:6" x14ac:dyDescent="0.2">
      <c r="A66" s="44">
        <f>'Detailed Model'!G24</f>
        <v>0</v>
      </c>
      <c r="B66" s="44">
        <f>'Detailed Model'!H24</f>
        <v>0</v>
      </c>
      <c r="C66" s="44">
        <f>'Detailed Model'!I24</f>
        <v>0</v>
      </c>
      <c r="D66" s="44">
        <f>'Detailed Model'!J24</f>
        <v>2</v>
      </c>
      <c r="E66" s="44">
        <f>'Detailed Model'!K24</f>
        <v>0</v>
      </c>
      <c r="F66" s="44">
        <f>'Detailed Model'!L24</f>
        <v>0</v>
      </c>
    </row>
    <row r="67" spans="1:6" x14ac:dyDescent="0.2">
      <c r="A67" s="44">
        <f>'Detailed Model'!G25</f>
        <v>0</v>
      </c>
      <c r="B67" s="44">
        <f>'Detailed Model'!H25</f>
        <v>0</v>
      </c>
      <c r="C67" s="44">
        <f>'Detailed Model'!I25</f>
        <v>0</v>
      </c>
      <c r="D67" s="44">
        <f>'Detailed Model'!J25</f>
        <v>0</v>
      </c>
      <c r="E67" s="44">
        <f>'Detailed Model'!K25</f>
        <v>2</v>
      </c>
      <c r="F67" s="44">
        <f>'Detailed Model'!L25</f>
        <v>0</v>
      </c>
    </row>
    <row r="68" spans="1:6" x14ac:dyDescent="0.2">
      <c r="A68" s="44">
        <f>'Detailed Model'!G26</f>
        <v>0</v>
      </c>
      <c r="B68" s="44">
        <f>'Detailed Model'!H26</f>
        <v>0</v>
      </c>
      <c r="C68" s="44">
        <f>'Detailed Model'!I26</f>
        <v>0</v>
      </c>
      <c r="D68" s="44">
        <f>'Detailed Model'!J26</f>
        <v>0</v>
      </c>
      <c r="E68" s="44">
        <f>'Detailed Model'!K26</f>
        <v>0</v>
      </c>
      <c r="F68" s="44">
        <f>'Detailed Model'!L26</f>
        <v>2</v>
      </c>
    </row>
    <row r="69" spans="1:6" x14ac:dyDescent="0.2">
      <c r="A69" s="44">
        <f>'Detailed Model'!G27</f>
        <v>0</v>
      </c>
      <c r="B69" s="44">
        <f>'Detailed Model'!H27</f>
        <v>0</v>
      </c>
      <c r="C69" s="44">
        <f>'Detailed Model'!I27</f>
        <v>0</v>
      </c>
      <c r="D69" s="44">
        <f>'Detailed Model'!J27</f>
        <v>0</v>
      </c>
      <c r="E69" s="44">
        <f>'Detailed Model'!K27</f>
        <v>0</v>
      </c>
      <c r="F69" s="44">
        <f>'Detailed Model'!L27</f>
        <v>2</v>
      </c>
    </row>
    <row r="70" spans="1:6" x14ac:dyDescent="0.2">
      <c r="A70" s="44">
        <f>'Detailed Model'!G28</f>
        <v>0</v>
      </c>
      <c r="B70" s="44">
        <f>'Detailed Model'!H28</f>
        <v>0</v>
      </c>
      <c r="C70" s="44">
        <f>'Detailed Model'!I28</f>
        <v>2</v>
      </c>
      <c r="D70" s="44">
        <f>'Detailed Model'!J28</f>
        <v>0</v>
      </c>
      <c r="E70" s="44">
        <f>'Detailed Model'!K28</f>
        <v>2</v>
      </c>
      <c r="F70" s="44">
        <f>'Detailed Model'!L28</f>
        <v>0</v>
      </c>
    </row>
    <row r="71" spans="1:6" x14ac:dyDescent="0.2">
      <c r="A71" s="44">
        <f>'Detailed Model'!G29</f>
        <v>0</v>
      </c>
      <c r="B71" s="44">
        <f>'Detailed Model'!H29</f>
        <v>0</v>
      </c>
      <c r="C71" s="44">
        <f>'Detailed Model'!I29</f>
        <v>2</v>
      </c>
      <c r="D71" s="44">
        <f>'Detailed Model'!J29</f>
        <v>2</v>
      </c>
      <c r="E71" s="44">
        <f>'Detailed Model'!K29</f>
        <v>0</v>
      </c>
      <c r="F71" s="44">
        <f>'Detailed Model'!L29</f>
        <v>0</v>
      </c>
    </row>
    <row r="72" spans="1:6" x14ac:dyDescent="0.2">
      <c r="A72" s="44">
        <f>'Detailed Model'!G30</f>
        <v>0</v>
      </c>
      <c r="B72" s="44">
        <f>'Detailed Model'!H30</f>
        <v>0</v>
      </c>
      <c r="C72" s="44">
        <f>'Detailed Model'!I30</f>
        <v>0</v>
      </c>
      <c r="D72" s="44">
        <f>'Detailed Model'!J30</f>
        <v>2</v>
      </c>
      <c r="E72" s="44">
        <f>'Detailed Model'!K30</f>
        <v>2</v>
      </c>
      <c r="F72" s="44">
        <f>'Detailed Model'!L30</f>
        <v>0</v>
      </c>
    </row>
    <row r="73" spans="1:6" x14ac:dyDescent="0.2">
      <c r="A73" s="44">
        <f>'Detailed Model'!G31</f>
        <v>0</v>
      </c>
      <c r="B73" s="44">
        <f>'Detailed Model'!H31</f>
        <v>0</v>
      </c>
      <c r="C73" s="44">
        <f>'Detailed Model'!I31</f>
        <v>0</v>
      </c>
      <c r="D73" s="44">
        <f>'Detailed Model'!J31</f>
        <v>0</v>
      </c>
      <c r="E73" s="44">
        <f>'Detailed Model'!K31</f>
        <v>2</v>
      </c>
      <c r="F73" s="44">
        <f>'Detailed Model'!L31</f>
        <v>2</v>
      </c>
    </row>
    <row r="74" spans="1:6" x14ac:dyDescent="0.2">
      <c r="A74" s="44">
        <f>'Detailed Model'!G32</f>
        <v>4</v>
      </c>
      <c r="B74" s="44">
        <f>'Detailed Model'!H32</f>
        <v>0</v>
      </c>
      <c r="C74" s="44">
        <f>'Detailed Model'!I32</f>
        <v>0</v>
      </c>
      <c r="D74" s="44">
        <f>'Detailed Model'!J32</f>
        <v>0</v>
      </c>
      <c r="E74" s="44">
        <f>'Detailed Model'!K32</f>
        <v>0</v>
      </c>
      <c r="F74" s="44">
        <f>'Detailed Model'!L32</f>
        <v>0</v>
      </c>
    </row>
    <row r="75" spans="1:6" x14ac:dyDescent="0.2">
      <c r="A75" s="44">
        <f>'Detailed Model'!G33</f>
        <v>0</v>
      </c>
      <c r="B75" s="44">
        <f>'Detailed Model'!H33</f>
        <v>0</v>
      </c>
      <c r="C75" s="44">
        <f>'Detailed Model'!I33</f>
        <v>4</v>
      </c>
      <c r="D75" s="44">
        <f>'Detailed Model'!J33</f>
        <v>0</v>
      </c>
      <c r="E75" s="44">
        <f>'Detailed Model'!K33</f>
        <v>0</v>
      </c>
      <c r="F75" s="44">
        <f>'Detailed Model'!L33</f>
        <v>0</v>
      </c>
    </row>
    <row r="76" spans="1:6" x14ac:dyDescent="0.2">
      <c r="A76" s="44">
        <f>'Detailed Model'!G34</f>
        <v>0</v>
      </c>
      <c r="B76" s="44">
        <f>'Detailed Model'!H34</f>
        <v>0</v>
      </c>
      <c r="C76" s="44">
        <f>'Detailed Model'!I34</f>
        <v>0</v>
      </c>
      <c r="D76" s="44">
        <f>'Detailed Model'!J34</f>
        <v>4</v>
      </c>
      <c r="E76" s="44">
        <f>'Detailed Model'!K34</f>
        <v>0</v>
      </c>
      <c r="F76" s="44">
        <f>'Detailed Model'!L34</f>
        <v>0</v>
      </c>
    </row>
    <row r="77" spans="1:6" x14ac:dyDescent="0.2">
      <c r="A77" s="44">
        <f>'Detailed Model'!G35</f>
        <v>0</v>
      </c>
      <c r="B77" s="44">
        <f>'Detailed Model'!H35</f>
        <v>0</v>
      </c>
      <c r="C77" s="44">
        <f>'Detailed Model'!I35</f>
        <v>0</v>
      </c>
      <c r="D77" s="44">
        <f>'Detailed Model'!J35</f>
        <v>0</v>
      </c>
      <c r="E77" s="44">
        <f>'Detailed Model'!K35</f>
        <v>4</v>
      </c>
      <c r="F77" s="44">
        <f>'Detailed Model'!L35</f>
        <v>0</v>
      </c>
    </row>
    <row r="78" spans="1:6" x14ac:dyDescent="0.2">
      <c r="A78" s="44">
        <f>'Detailed Model'!G36</f>
        <v>0</v>
      </c>
      <c r="B78" s="44">
        <f>'Detailed Model'!H36</f>
        <v>0</v>
      </c>
      <c r="C78" s="44">
        <f>'Detailed Model'!I36</f>
        <v>0</v>
      </c>
      <c r="D78" s="44">
        <f>'Detailed Model'!J36</f>
        <v>0</v>
      </c>
      <c r="E78" s="44">
        <f>'Detailed Model'!K36</f>
        <v>0</v>
      </c>
      <c r="F78" s="44">
        <f>'Detailed Model'!L36</f>
        <v>4</v>
      </c>
    </row>
  </sheetData>
  <sheetProtection password="CA49" sheet="1" objects="1" scenarios="1"/>
  <conditionalFormatting sqref="X1:BI27 D1:V27">
    <cfRule type="cellIs" dxfId="0" priority="7" stopIfTrue="1" operator="greater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S11"/>
  <sheetViews>
    <sheetView workbookViewId="0">
      <selection activeCell="G28" sqref="G28"/>
    </sheetView>
  </sheetViews>
  <sheetFormatPr defaultRowHeight="12.75" x14ac:dyDescent="0.2"/>
  <cols>
    <col min="3" max="14" width="13.42578125" customWidth="1"/>
  </cols>
  <sheetData>
    <row r="1" spans="1:19" x14ac:dyDescent="0.2">
      <c r="A1">
        <v>5</v>
      </c>
      <c r="R1" s="35" t="s">
        <v>58</v>
      </c>
      <c r="S1">
        <v>6</v>
      </c>
    </row>
    <row r="5" spans="1:19" x14ac:dyDescent="0.2">
      <c r="C5" t="s">
        <v>43</v>
      </c>
      <c r="D5" t="s">
        <v>44</v>
      </c>
      <c r="E5" t="s">
        <v>45</v>
      </c>
      <c r="F5" t="s">
        <v>46</v>
      </c>
      <c r="G5" t="s">
        <v>47</v>
      </c>
      <c r="H5" t="s">
        <v>48</v>
      </c>
      <c r="I5" t="s">
        <v>49</v>
      </c>
      <c r="J5" t="s">
        <v>50</v>
      </c>
      <c r="K5" t="s">
        <v>51</v>
      </c>
      <c r="L5" t="s">
        <v>52</v>
      </c>
      <c r="M5" t="s">
        <v>53</v>
      </c>
      <c r="N5" t="s">
        <v>54</v>
      </c>
    </row>
    <row r="6" spans="1:19" x14ac:dyDescent="0.2">
      <c r="B6">
        <v>1</v>
      </c>
      <c r="C6" s="131">
        <v>20</v>
      </c>
      <c r="D6" s="131">
        <v>0</v>
      </c>
      <c r="E6" s="131">
        <v>4</v>
      </c>
      <c r="F6" s="131">
        <v>3</v>
      </c>
      <c r="G6" s="131">
        <v>14</v>
      </c>
      <c r="H6" s="131">
        <v>20</v>
      </c>
      <c r="I6" s="71">
        <v>25</v>
      </c>
      <c r="J6" s="71">
        <v>0</v>
      </c>
      <c r="K6" s="71">
        <v>4</v>
      </c>
      <c r="L6" s="71">
        <v>3</v>
      </c>
      <c r="M6" s="71">
        <v>14</v>
      </c>
      <c r="N6" s="71">
        <v>20</v>
      </c>
    </row>
    <row r="7" spans="1:19" x14ac:dyDescent="0.2">
      <c r="B7">
        <v>2</v>
      </c>
      <c r="C7" s="131">
        <v>20</v>
      </c>
      <c r="D7" s="131">
        <v>0</v>
      </c>
      <c r="E7" s="131">
        <v>5</v>
      </c>
      <c r="F7" s="131">
        <v>2</v>
      </c>
      <c r="G7" s="131">
        <v>14</v>
      </c>
      <c r="H7" s="131">
        <v>8</v>
      </c>
      <c r="I7" s="71">
        <v>25</v>
      </c>
      <c r="J7" s="71">
        <v>0</v>
      </c>
      <c r="K7" s="71">
        <v>5</v>
      </c>
      <c r="L7" s="71">
        <v>2</v>
      </c>
      <c r="M7" s="71">
        <v>14</v>
      </c>
      <c r="N7" s="71">
        <v>8</v>
      </c>
    </row>
    <row r="8" spans="1:19" x14ac:dyDescent="0.2">
      <c r="B8">
        <v>3</v>
      </c>
      <c r="C8" s="131">
        <v>10</v>
      </c>
      <c r="D8" s="131">
        <v>10</v>
      </c>
      <c r="E8" s="131">
        <v>3</v>
      </c>
      <c r="F8" s="131">
        <v>4</v>
      </c>
      <c r="G8" s="131">
        <v>16</v>
      </c>
      <c r="H8" s="131">
        <v>11</v>
      </c>
      <c r="I8" s="71">
        <v>10</v>
      </c>
      <c r="J8" s="71">
        <v>0</v>
      </c>
      <c r="K8" s="71">
        <v>3</v>
      </c>
      <c r="L8" s="71">
        <v>4</v>
      </c>
      <c r="M8" s="71">
        <v>16</v>
      </c>
      <c r="N8" s="71">
        <v>11</v>
      </c>
    </row>
    <row r="9" spans="1:19" x14ac:dyDescent="0.2">
      <c r="B9">
        <v>4</v>
      </c>
      <c r="C9" s="131">
        <v>0</v>
      </c>
      <c r="D9" s="131">
        <v>20</v>
      </c>
      <c r="E9" s="131">
        <v>4</v>
      </c>
      <c r="F9" s="131">
        <v>2</v>
      </c>
      <c r="G9" s="131">
        <v>14</v>
      </c>
      <c r="H9" s="131">
        <v>13</v>
      </c>
      <c r="I9" s="71">
        <v>0</v>
      </c>
      <c r="J9" s="71">
        <v>0</v>
      </c>
      <c r="K9" s="71">
        <v>4</v>
      </c>
      <c r="L9" s="71">
        <v>2</v>
      </c>
      <c r="M9" s="71">
        <v>14</v>
      </c>
      <c r="N9" s="71">
        <v>13</v>
      </c>
    </row>
    <row r="10" spans="1:19" x14ac:dyDescent="0.2">
      <c r="B10">
        <v>5</v>
      </c>
      <c r="C10" s="131">
        <v>0</v>
      </c>
      <c r="D10" s="131">
        <v>20</v>
      </c>
      <c r="E10" s="131">
        <v>4</v>
      </c>
      <c r="F10" s="131">
        <v>4</v>
      </c>
      <c r="G10" s="131">
        <v>17</v>
      </c>
      <c r="H10" s="131">
        <v>18</v>
      </c>
      <c r="I10" s="71">
        <v>0</v>
      </c>
      <c r="J10" s="71">
        <v>0</v>
      </c>
      <c r="K10" s="71">
        <v>4</v>
      </c>
      <c r="L10" s="71">
        <v>4</v>
      </c>
      <c r="M10" s="71">
        <v>17</v>
      </c>
      <c r="N10" s="71">
        <v>18</v>
      </c>
    </row>
    <row r="11" spans="1:19" x14ac:dyDescent="0.2">
      <c r="B11" s="35" t="s">
        <v>58</v>
      </c>
      <c r="C11">
        <v>10</v>
      </c>
      <c r="D11">
        <v>10</v>
      </c>
      <c r="E11">
        <v>4</v>
      </c>
      <c r="F11">
        <v>3</v>
      </c>
      <c r="G11">
        <v>15</v>
      </c>
      <c r="H11">
        <v>14</v>
      </c>
      <c r="I11">
        <v>12</v>
      </c>
      <c r="J11">
        <v>0</v>
      </c>
      <c r="K11">
        <v>4</v>
      </c>
      <c r="L11">
        <v>3</v>
      </c>
      <c r="M11">
        <v>15</v>
      </c>
      <c r="N11">
        <v>14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8"/>
  <sheetViews>
    <sheetView workbookViewId="0">
      <selection activeCell="D28" sqref="D28"/>
    </sheetView>
  </sheetViews>
  <sheetFormatPr defaultRowHeight="12.75" x14ac:dyDescent="0.2"/>
  <sheetData>
    <row r="1" spans="1:22" x14ac:dyDescent="0.2">
      <c r="A1" s="119">
        <f>IF('Detailed Model'!H4=0,6,'Detailed Model'!H4)</f>
        <v>6</v>
      </c>
      <c r="B1" t="s">
        <v>55</v>
      </c>
    </row>
    <row r="2" spans="1:22" x14ac:dyDescent="0.2">
      <c r="B2" t="s">
        <v>56</v>
      </c>
      <c r="C2" t="s">
        <v>59</v>
      </c>
      <c r="D2" t="s">
        <v>60</v>
      </c>
      <c r="E2" t="s">
        <v>61</v>
      </c>
      <c r="F2" t="s">
        <v>62</v>
      </c>
      <c r="G2" t="s">
        <v>63</v>
      </c>
      <c r="H2" t="s">
        <v>64</v>
      </c>
      <c r="I2" t="s">
        <v>65</v>
      </c>
      <c r="J2" t="s">
        <v>66</v>
      </c>
      <c r="K2" t="s">
        <v>67</v>
      </c>
      <c r="L2" t="s">
        <v>68</v>
      </c>
      <c r="M2" t="s">
        <v>69</v>
      </c>
      <c r="N2" t="s">
        <v>70</v>
      </c>
      <c r="O2" t="s">
        <v>71</v>
      </c>
      <c r="P2" t="s">
        <v>72</v>
      </c>
      <c r="Q2" t="s">
        <v>73</v>
      </c>
      <c r="R2" t="s">
        <v>74</v>
      </c>
      <c r="S2" t="s">
        <v>75</v>
      </c>
      <c r="T2" t="s">
        <v>76</v>
      </c>
      <c r="U2" t="s">
        <v>77</v>
      </c>
      <c r="V2" t="s">
        <v>78</v>
      </c>
    </row>
    <row r="3" spans="1:22" x14ac:dyDescent="0.2">
      <c r="B3" s="122" t="s">
        <v>57</v>
      </c>
      <c r="C3" s="123">
        <f>Calculations!$D$49</f>
        <v>56</v>
      </c>
      <c r="D3" s="123">
        <f>Calculations!$E$49</f>
        <v>52</v>
      </c>
      <c r="E3" s="123">
        <f>Calculations!$F$49</f>
        <v>47</v>
      </c>
      <c r="F3" s="123">
        <f>Calculations!$G$49</f>
        <v>42</v>
      </c>
      <c r="G3" s="123">
        <f>Calculations!$H$49</f>
        <v>38</v>
      </c>
      <c r="H3" s="123">
        <f>Calculations!$I$49</f>
        <v>34</v>
      </c>
      <c r="I3" s="123">
        <f>Calculations!$J$49</f>
        <v>30</v>
      </c>
      <c r="J3" s="123">
        <f>Calculations!$K$49</f>
        <v>26</v>
      </c>
      <c r="K3" s="123">
        <f>Calculations!$L$49</f>
        <v>22</v>
      </c>
      <c r="L3" s="123">
        <f>Calculations!$M$49</f>
        <v>18</v>
      </c>
      <c r="M3" s="123">
        <f>Calculations!$N$49</f>
        <v>14</v>
      </c>
      <c r="N3" s="123">
        <f>Calculations!$O$49</f>
        <v>10</v>
      </c>
      <c r="O3" s="123">
        <f>Calculations!$P$49</f>
        <v>8</v>
      </c>
      <c r="P3" s="123">
        <f>Calculations!$Q$49</f>
        <v>5</v>
      </c>
      <c r="Q3" s="123">
        <f>Calculations!$R$49</f>
        <v>3</v>
      </c>
      <c r="R3" s="123">
        <f>Calculations!$S$49</f>
        <v>0</v>
      </c>
      <c r="S3" s="123">
        <f>Calculations!$T$49</f>
        <v>0</v>
      </c>
      <c r="T3" s="123">
        <f>Calculations!$U$49</f>
        <v>0</v>
      </c>
      <c r="U3" s="124">
        <f>Calculations!$V$49</f>
        <v>0</v>
      </c>
      <c r="V3" s="124">
        <f>'Detailed Model'!$Q$8</f>
        <v>5</v>
      </c>
    </row>
    <row r="4" spans="1:22" x14ac:dyDescent="0.2">
      <c r="B4" s="125">
        <v>1</v>
      </c>
      <c r="C4" s="127">
        <f t="dataTable" ref="C4:V8" dt2D="0" dtr="0" r1="A1"/>
        <v>61</v>
      </c>
      <c r="D4" s="127">
        <v>57</v>
      </c>
      <c r="E4" s="127">
        <v>52</v>
      </c>
      <c r="F4" s="127">
        <v>47</v>
      </c>
      <c r="G4" s="127">
        <v>43</v>
      </c>
      <c r="H4" s="127">
        <v>39</v>
      </c>
      <c r="I4" s="127">
        <v>35</v>
      </c>
      <c r="J4" s="127">
        <v>31</v>
      </c>
      <c r="K4" s="127">
        <v>27</v>
      </c>
      <c r="L4" s="127">
        <v>23</v>
      </c>
      <c r="M4" s="127">
        <v>19</v>
      </c>
      <c r="N4" s="127">
        <v>19</v>
      </c>
      <c r="O4" s="127">
        <v>17</v>
      </c>
      <c r="P4" s="127">
        <v>16</v>
      </c>
      <c r="Q4" s="127">
        <v>18</v>
      </c>
      <c r="R4" s="127">
        <v>16</v>
      </c>
      <c r="S4" s="127">
        <v>14</v>
      </c>
      <c r="T4" s="127">
        <v>11</v>
      </c>
      <c r="U4" s="128">
        <v>8</v>
      </c>
      <c r="V4" s="128">
        <v>16</v>
      </c>
    </row>
    <row r="5" spans="1:22" x14ac:dyDescent="0.2">
      <c r="B5" s="125">
        <v>2</v>
      </c>
      <c r="C5" s="127">
        <v>49</v>
      </c>
      <c r="D5" s="127">
        <v>45</v>
      </c>
      <c r="E5" s="127">
        <v>40</v>
      </c>
      <c r="F5" s="127">
        <v>35</v>
      </c>
      <c r="G5" s="127">
        <v>31</v>
      </c>
      <c r="H5" s="127">
        <v>27</v>
      </c>
      <c r="I5" s="127">
        <v>23</v>
      </c>
      <c r="J5" s="127">
        <v>21</v>
      </c>
      <c r="K5" s="127">
        <v>19</v>
      </c>
      <c r="L5" s="127">
        <v>15</v>
      </c>
      <c r="M5" s="127">
        <v>11</v>
      </c>
      <c r="N5" s="127">
        <v>11</v>
      </c>
      <c r="O5" s="127">
        <v>11</v>
      </c>
      <c r="P5" s="127">
        <v>11</v>
      </c>
      <c r="Q5" s="127">
        <v>12</v>
      </c>
      <c r="R5" s="127">
        <v>11</v>
      </c>
      <c r="S5" s="127">
        <v>11</v>
      </c>
      <c r="T5" s="127">
        <v>10</v>
      </c>
      <c r="U5" s="128">
        <v>7</v>
      </c>
      <c r="V5" s="128">
        <v>11</v>
      </c>
    </row>
    <row r="6" spans="1:22" x14ac:dyDescent="0.2">
      <c r="B6" s="125">
        <v>3</v>
      </c>
      <c r="C6" s="127">
        <v>54</v>
      </c>
      <c r="D6" s="127">
        <v>50</v>
      </c>
      <c r="E6" s="127">
        <v>45</v>
      </c>
      <c r="F6" s="127">
        <v>40</v>
      </c>
      <c r="G6" s="127">
        <v>36</v>
      </c>
      <c r="H6" s="127">
        <v>32</v>
      </c>
      <c r="I6" s="127">
        <v>28</v>
      </c>
      <c r="J6" s="127">
        <v>25</v>
      </c>
      <c r="K6" s="127">
        <v>22</v>
      </c>
      <c r="L6" s="127">
        <v>17</v>
      </c>
      <c r="M6" s="127">
        <v>14</v>
      </c>
      <c r="N6" s="127">
        <v>10</v>
      </c>
      <c r="O6" s="127">
        <v>8</v>
      </c>
      <c r="P6" s="127">
        <v>6</v>
      </c>
      <c r="Q6" s="127">
        <v>3</v>
      </c>
      <c r="R6" s="127">
        <v>1</v>
      </c>
      <c r="S6" s="127">
        <v>0</v>
      </c>
      <c r="T6" s="127">
        <v>0</v>
      </c>
      <c r="U6" s="128">
        <v>0</v>
      </c>
      <c r="V6" s="128">
        <v>6</v>
      </c>
    </row>
    <row r="7" spans="1:22" x14ac:dyDescent="0.2">
      <c r="B7" s="125">
        <v>4</v>
      </c>
      <c r="C7" s="127">
        <v>53</v>
      </c>
      <c r="D7" s="127">
        <v>49</v>
      </c>
      <c r="E7" s="127">
        <v>44</v>
      </c>
      <c r="F7" s="127">
        <v>39</v>
      </c>
      <c r="G7" s="127">
        <v>35</v>
      </c>
      <c r="H7" s="127">
        <v>31</v>
      </c>
      <c r="I7" s="127">
        <v>27</v>
      </c>
      <c r="J7" s="127">
        <v>23</v>
      </c>
      <c r="K7" s="127">
        <v>21</v>
      </c>
      <c r="L7" s="127">
        <v>22</v>
      </c>
      <c r="M7" s="127">
        <v>21</v>
      </c>
      <c r="N7" s="127">
        <v>17</v>
      </c>
      <c r="O7" s="127">
        <v>16</v>
      </c>
      <c r="P7" s="127">
        <v>14</v>
      </c>
      <c r="Q7" s="127">
        <v>10</v>
      </c>
      <c r="R7" s="127">
        <v>10</v>
      </c>
      <c r="S7" s="127">
        <v>10</v>
      </c>
      <c r="T7" s="127">
        <v>10</v>
      </c>
      <c r="U7" s="128">
        <v>10</v>
      </c>
      <c r="V7" s="128">
        <v>14</v>
      </c>
    </row>
    <row r="8" spans="1:22" x14ac:dyDescent="0.2">
      <c r="B8" s="126">
        <v>5</v>
      </c>
      <c r="C8" s="129">
        <v>63</v>
      </c>
      <c r="D8" s="129">
        <v>59</v>
      </c>
      <c r="E8" s="129">
        <v>54</v>
      </c>
      <c r="F8" s="129">
        <v>49</v>
      </c>
      <c r="G8" s="129">
        <v>45</v>
      </c>
      <c r="H8" s="129">
        <v>41</v>
      </c>
      <c r="I8" s="129">
        <v>37</v>
      </c>
      <c r="J8" s="129">
        <v>33</v>
      </c>
      <c r="K8" s="129">
        <v>31</v>
      </c>
      <c r="L8" s="129">
        <v>31</v>
      </c>
      <c r="M8" s="129">
        <v>31</v>
      </c>
      <c r="N8" s="129">
        <v>27</v>
      </c>
      <c r="O8" s="129">
        <v>24</v>
      </c>
      <c r="P8" s="129">
        <v>21</v>
      </c>
      <c r="Q8" s="129">
        <v>18</v>
      </c>
      <c r="R8" s="129">
        <v>16</v>
      </c>
      <c r="S8" s="129">
        <v>13</v>
      </c>
      <c r="T8" s="129">
        <v>11</v>
      </c>
      <c r="U8" s="130">
        <v>11</v>
      </c>
      <c r="V8" s="130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46</vt:i4>
      </vt:variant>
    </vt:vector>
  </HeadingPairs>
  <TitlesOfParts>
    <vt:vector size="53" baseType="lpstr">
      <vt:lpstr>Overview</vt:lpstr>
      <vt:lpstr>Background</vt:lpstr>
      <vt:lpstr>High Level Model</vt:lpstr>
      <vt:lpstr>Detail Instructions</vt:lpstr>
      <vt:lpstr>Detailed Model</vt:lpstr>
      <vt:lpstr>Threat Libraries</vt:lpstr>
      <vt:lpstr>PMTable</vt:lpstr>
      <vt:lpstr>Assignments</vt:lpstr>
      <vt:lpstr>Costs</vt:lpstr>
      <vt:lpstr>LocA</vt:lpstr>
      <vt:lpstr>LocB</vt:lpstr>
      <vt:lpstr>LocC</vt:lpstr>
      <vt:lpstr>LocD</vt:lpstr>
      <vt:lpstr>LocE</vt:lpstr>
      <vt:lpstr>LocF</vt:lpstr>
      <vt:lpstr>PM_Index</vt:lpstr>
      <vt:lpstr>PM_IV</vt:lpstr>
      <vt:lpstr>PM_IV_INDEX</vt:lpstr>
      <vt:lpstr>PM_Trials</vt:lpstr>
      <vt:lpstr>Req_Orange_A</vt:lpstr>
      <vt:lpstr>Req_Orange_B</vt:lpstr>
      <vt:lpstr>Req_Orange_C</vt:lpstr>
      <vt:lpstr>Req_Orange_D</vt:lpstr>
      <vt:lpstr>Req_Orange_E</vt:lpstr>
      <vt:lpstr>Req_Orange_F</vt:lpstr>
      <vt:lpstr>Req_Red_A</vt:lpstr>
      <vt:lpstr>Req_Red_B</vt:lpstr>
      <vt:lpstr>Req_Red_C</vt:lpstr>
      <vt:lpstr>Req_Red_D</vt:lpstr>
      <vt:lpstr>Req_Red_E</vt:lpstr>
      <vt:lpstr>Req_Red_F</vt:lpstr>
      <vt:lpstr>Shortfall01</vt:lpstr>
      <vt:lpstr>Shortfall02</vt:lpstr>
      <vt:lpstr>Shortfall03</vt:lpstr>
      <vt:lpstr>Shortfall04</vt:lpstr>
      <vt:lpstr>Shortfall05</vt:lpstr>
      <vt:lpstr>Shortfall06</vt:lpstr>
      <vt:lpstr>Shortfall07</vt:lpstr>
      <vt:lpstr>Shortfall08</vt:lpstr>
      <vt:lpstr>Shortfall09</vt:lpstr>
      <vt:lpstr>Shortfall10</vt:lpstr>
      <vt:lpstr>Shortfall11</vt:lpstr>
      <vt:lpstr>Shortfall12</vt:lpstr>
      <vt:lpstr>Shortfall13</vt:lpstr>
      <vt:lpstr>Shortfall14</vt:lpstr>
      <vt:lpstr>Shortfall15</vt:lpstr>
      <vt:lpstr>Shortfall16</vt:lpstr>
      <vt:lpstr>Shortfall17</vt:lpstr>
      <vt:lpstr>Shortfall18</vt:lpstr>
      <vt:lpstr>Shortfall19</vt:lpstr>
      <vt:lpstr>Threat</vt:lpstr>
      <vt:lpstr>Total_Shortfall</vt:lpstr>
      <vt:lpstr>'Detailed Model'!WBINTAssignments</vt:lpstr>
    </vt:vector>
  </TitlesOfParts>
  <Company>AnalyCorp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Cost vs Risk</dc:title>
  <dc:subject>Optimal Airlift of Supplies -- cost/shortfall tradeoff curve</dc:subject>
  <dc:creator>Sam Savage</dc:creator>
  <cp:lastModifiedBy>Sam Savage</cp:lastModifiedBy>
  <dcterms:created xsi:type="dcterms:W3CDTF">2003-08-01T02:00:42Z</dcterms:created>
  <dcterms:modified xsi:type="dcterms:W3CDTF">2013-06-03T22:07:08Z</dcterms:modified>
</cp:coreProperties>
</file>