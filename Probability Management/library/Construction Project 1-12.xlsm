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defaultThemeVersion="124226"/>
  <bookViews>
    <workbookView xWindow="360" yWindow="105" windowWidth="20895" windowHeight="10935"/>
  </bookViews>
  <sheets>
    <sheet name="Project Model" sheetId="5" r:id="rId1"/>
    <sheet name="DIST Library" sheetId="10" r:id="rId2"/>
    <sheet name="Graph Data" sheetId="11" state="hidden" r:id="rId3"/>
    <sheet name="Project Model - DIST" sheetId="9" state="hidden" r:id="rId4"/>
  </sheets>
  <functionGroups builtInGroupCount="17"/>
  <calcPr calcId="144525"/>
</workbook>
</file>

<file path=xl/calcChain.xml><?xml version="1.0" encoding="utf-8"?>
<calcChain xmlns="http://schemas.openxmlformats.org/spreadsheetml/2006/main">
  <c r="O6" i="11" l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O28" i="11" s="1"/>
  <c r="O29" i="11" s="1"/>
  <c r="O30" i="11" s="1"/>
  <c r="O31" i="11" s="1"/>
  <c r="O32" i="11" s="1"/>
  <c r="O33" i="11" s="1"/>
  <c r="O34" i="11" s="1"/>
  <c r="O35" i="11" s="1"/>
  <c r="O36" i="11" s="1"/>
  <c r="O37" i="11" s="1"/>
  <c r="O38" i="11" s="1"/>
  <c r="O39" i="11" s="1"/>
  <c r="O40" i="11" s="1"/>
  <c r="O41" i="11" s="1"/>
  <c r="O42" i="11" s="1"/>
  <c r="O43" i="11" s="1"/>
  <c r="O44" i="11" s="1"/>
  <c r="O45" i="11" s="1"/>
  <c r="O46" i="11" s="1"/>
  <c r="O47" i="11" s="1"/>
  <c r="O48" i="11" s="1"/>
  <c r="O49" i="11" s="1"/>
  <c r="O50" i="11" s="1"/>
  <c r="O51" i="11" s="1"/>
  <c r="O52" i="11" s="1"/>
  <c r="O53" i="11" s="1"/>
  <c r="O54" i="11" s="1"/>
  <c r="O55" i="11" s="1"/>
  <c r="R7" i="11"/>
  <c r="I37" i="9" a="1"/>
  <c r="G11" i="9" a="1"/>
  <c r="H47" i="5"/>
  <c r="C44" i="5"/>
  <c r="C42" i="5"/>
  <c r="C38" i="5"/>
  <c r="J47" i="5"/>
  <c r="C43" i="5"/>
  <c r="C37" i="5"/>
  <c r="F47" i="5"/>
  <c r="C39" i="5"/>
  <c r="G11" i="9" l="1"/>
  <c r="I37" i="9"/>
  <c r="R5" i="11"/>
  <c r="J37" i="9" a="1"/>
  <c r="G12" i="5"/>
  <c r="J37" i="9" l="1"/>
  <c r="R6" i="11"/>
  <c r="K18" i="5"/>
  <c r="K37" i="5"/>
  <c r="I8" i="11" l="1"/>
  <c r="I9" i="11" s="1"/>
  <c r="I10" i="11" s="1"/>
  <c r="I11" i="11" s="1"/>
  <c r="I12" i="11" s="1"/>
  <c r="I13" i="11" s="1"/>
  <c r="I14" i="11" s="1"/>
  <c r="I15" i="11" s="1"/>
  <c r="I16" i="11" s="1"/>
  <c r="C8" i="11"/>
  <c r="C9" i="11" s="1"/>
  <c r="C10" i="11" s="1"/>
  <c r="C11" i="11" s="1"/>
  <c r="C12" i="11" s="1"/>
  <c r="C13" i="11" s="1"/>
  <c r="C14" i="11" s="1"/>
  <c r="C15" i="11" s="1"/>
  <c r="C16" i="11" s="1"/>
  <c r="K16" i="9"/>
  <c r="K15" i="9"/>
  <c r="C38" i="9"/>
  <c r="H38" i="9" s="1"/>
  <c r="C39" i="9"/>
  <c r="H37" i="9" s="1"/>
  <c r="C37" i="9"/>
  <c r="H39" i="9" s="1"/>
  <c r="G37" i="9" s="1"/>
  <c r="J47" i="9"/>
  <c r="H47" i="9"/>
  <c r="F47" i="9"/>
  <c r="C10" i="9"/>
  <c r="A37" i="9"/>
  <c r="G11" i="5" l="1"/>
  <c r="K9" i="5" l="1"/>
  <c r="E39" i="5"/>
  <c r="E38" i="5"/>
  <c r="D11" i="9" l="1"/>
  <c r="D12" i="5"/>
  <c r="H38" i="5"/>
  <c r="H37" i="5"/>
  <c r="E37" i="5"/>
  <c r="N36" i="9" a="1"/>
  <c r="N36" i="9" l="1"/>
  <c r="I37" i="5"/>
  <c r="H39" i="5"/>
  <c r="N37" i="9" a="1"/>
  <c r="N37" i="9" l="1"/>
  <c r="G38" i="5"/>
  <c r="G37" i="5"/>
  <c r="I11" i="9" a="1"/>
  <c r="I11" i="9" l="1"/>
  <c r="J37" i="5"/>
  <c r="D11" i="5" s="1"/>
  <c r="N36" i="5" s="1"/>
  <c r="K11" i="9" a="1"/>
  <c r="I12" i="5"/>
  <c r="K11" i="9" l="1"/>
  <c r="N37" i="5"/>
  <c r="I11" i="5" s="1"/>
  <c r="K11" i="5" s="1"/>
  <c r="K12" i="5"/>
  <c r="S6" i="11"/>
  <c r="Q5" i="11" a="1"/>
  <c r="Q6" i="11" l="1"/>
  <c r="Q8" i="11"/>
  <c r="Q10" i="11"/>
  <c r="Q12" i="11"/>
  <c r="Q14" i="11"/>
  <c r="Q16" i="11"/>
  <c r="Q18" i="11"/>
  <c r="Q20" i="11"/>
  <c r="Q22" i="11"/>
  <c r="Q24" i="11"/>
  <c r="Q26" i="11"/>
  <c r="Q28" i="11"/>
  <c r="Q30" i="11"/>
  <c r="Q32" i="11"/>
  <c r="Q34" i="11"/>
  <c r="Q36" i="11"/>
  <c r="Q38" i="11"/>
  <c r="Q40" i="11"/>
  <c r="Q42" i="11"/>
  <c r="Q44" i="11"/>
  <c r="Q46" i="11"/>
  <c r="Q48" i="11"/>
  <c r="Q50" i="11"/>
  <c r="Q52" i="11"/>
  <c r="Q54" i="11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P6" i="11"/>
  <c r="K19" i="5"/>
  <c r="S7" i="11"/>
  <c r="C6" i="11"/>
  <c r="D6" i="11"/>
  <c r="D7" i="11" a="1"/>
  <c r="D8" i="11" l="1"/>
  <c r="E8" i="11" s="1"/>
  <c r="D10" i="11"/>
  <c r="D12" i="11"/>
  <c r="E12" i="11" s="1"/>
  <c r="D14" i="11"/>
  <c r="D16" i="11"/>
  <c r="E16" i="11" s="1"/>
  <c r="D7" i="11"/>
  <c r="D9" i="11"/>
  <c r="D11" i="11"/>
  <c r="D13" i="11"/>
  <c r="E13" i="11" s="1"/>
  <c r="D15" i="11"/>
  <c r="P7" i="11"/>
  <c r="P8" i="11" s="1"/>
  <c r="P9" i="11" s="1"/>
  <c r="P10" i="11" s="1"/>
  <c r="P11" i="11" s="1"/>
  <c r="P12" i="11" s="1"/>
  <c r="P13" i="11" s="1"/>
  <c r="P14" i="11" s="1"/>
  <c r="P15" i="11" s="1"/>
  <c r="P16" i="11" s="1"/>
  <c r="P17" i="11" s="1"/>
  <c r="P18" i="11" s="1"/>
  <c r="P19" i="11" s="1"/>
  <c r="P20" i="11" s="1"/>
  <c r="P21" i="11" s="1"/>
  <c r="P22" i="11" s="1"/>
  <c r="P23" i="11" s="1"/>
  <c r="P24" i="11" s="1"/>
  <c r="P25" i="11" s="1"/>
  <c r="P26" i="11" s="1"/>
  <c r="P27" i="11" s="1"/>
  <c r="P28" i="11" s="1"/>
  <c r="P29" i="11" s="1"/>
  <c r="P30" i="11" s="1"/>
  <c r="P31" i="11" s="1"/>
  <c r="P32" i="11" s="1"/>
  <c r="P33" i="11" s="1"/>
  <c r="P34" i="11" s="1"/>
  <c r="P35" i="11" s="1"/>
  <c r="P36" i="11" s="1"/>
  <c r="P37" i="11" s="1"/>
  <c r="P38" i="11" s="1"/>
  <c r="P39" i="11" s="1"/>
  <c r="P40" i="11" s="1"/>
  <c r="P41" i="11" s="1"/>
  <c r="P42" i="11" s="1"/>
  <c r="P43" i="11" s="1"/>
  <c r="P44" i="11" s="1"/>
  <c r="P45" i="11" s="1"/>
  <c r="P46" i="11" s="1"/>
  <c r="P47" i="11" s="1"/>
  <c r="P48" i="11" s="1"/>
  <c r="P49" i="11" s="1"/>
  <c r="P50" i="11" s="1"/>
  <c r="P51" i="11" s="1"/>
  <c r="P52" i="11" s="1"/>
  <c r="P53" i="11" s="1"/>
  <c r="P54" i="11" s="1"/>
  <c r="P55" i="11" s="1"/>
  <c r="E7" i="11"/>
  <c r="E9" i="11"/>
  <c r="E15" i="11"/>
  <c r="E10" i="11"/>
  <c r="E11" i="11"/>
  <c r="E14" i="11"/>
  <c r="I6" i="11"/>
  <c r="J9" i="11"/>
  <c r="J7" i="11"/>
  <c r="J11" i="11"/>
  <c r="J13" i="11"/>
  <c r="J15" i="11"/>
  <c r="J17" i="11"/>
  <c r="J6" i="11"/>
  <c r="J8" i="11"/>
  <c r="J10" i="11"/>
  <c r="J12" i="11"/>
  <c r="J14" i="11"/>
  <c r="J16" i="11"/>
  <c r="K7" i="11" l="1"/>
  <c r="K8" i="11"/>
  <c r="K9" i="11"/>
  <c r="K10" i="11"/>
  <c r="K11" i="11"/>
  <c r="K12" i="11"/>
  <c r="K13" i="11"/>
  <c r="K14" i="11"/>
  <c r="K15" i="11"/>
  <c r="K16" i="11"/>
  <c r="K17" i="11"/>
</calcChain>
</file>

<file path=xl/sharedStrings.xml><?xml version="1.0" encoding="utf-8"?>
<sst xmlns="http://schemas.openxmlformats.org/spreadsheetml/2006/main" count="42" uniqueCount="40">
  <si>
    <t>Durations</t>
  </si>
  <si>
    <t>Start</t>
  </si>
  <si>
    <t>Finish</t>
  </si>
  <si>
    <t>Input scroll bar</t>
  </si>
  <si>
    <t>Bins</t>
  </si>
  <si>
    <t>Frequency</t>
  </si>
  <si>
    <t>Cumulative Frequency</t>
  </si>
  <si>
    <t>Build House</t>
  </si>
  <si>
    <t>Remodel 1</t>
  </si>
  <si>
    <t>Remodel 2</t>
  </si>
  <si>
    <t>&lt;dist name="MN" avg="1.20000000E+001" min="7.18770000E+000" max="2.83877000E+001" count="1000" type="Double" ver="1.1"&gt;//+ftDpPDiMOIw4jDiMdMp+0HTIOI///AAAAAP//Ok8OIx0yAAAAAAAA/////x0yn7RFWg4jDiP//zpPDiMOIw4jn7QdMv//DiMAAP////8dMh0yDiMAAP//DiMOIw4jOk9FWp+0DiOftB0yOk8OIw4jOk+ftDpPHTI6Tw4jDiMAAA4j//8dMjpP//86T0Van7QOIw4jDiMOI5+0DiNFWg4jDiMOIw4j//9FWp+0DiMOIw4jOk8OIw4jDiMAAAAAOk8AAA4j//+ftA4jDiMOI///DiMAAA4jDiOftA4jDiM6T5+0Ok86T5+0DiM6T///DiMAAA4jRVpFWg4jAABFWkVaAAAOIw4jDiM6T0VaHTIOIzpPRVoOIw4j//8OIzpPDiMOIzpPRVoOIw4jRVoOIw4jOk///w4jOk8dMp+0DiNFWg4j//8AAEVaDiMAAA4jDiMOIw4jAACftA4jHTI6T5+0RVoOI5+0RVoOIzpPDiNFWg4jHTJFWkVaHTIAADpPHTIOIw4jHTIOIx0yAAAOIw4j//8dMjpPRVqftEVaDiMAAAAAn7SftA4jDiOftB0yDiNFWp+0DiMOI0VaAAAdMg4jRVqftA4jRVqftDpPHTL//w4jHTKftB0yAAAdMg4jDiMOI5+0AABFWg4jOk+ftEVaOk8OIzpPn7RFWg4j//8OIw4jDiOftA4jDiMAAA4jHTI6Tw4jHTIAAP//AAD//w4jDiMOIw4j//8OIw4jRVoOI///DiMOIw4jHTIAAEVaAAAAAA4jDiMOIzpPAAAAAA4jOk8OIwAADiNFWkVaHTIOIx0yDiMOI5+0DiMOI0VaDiOftP//RVoOIw4jDiMOIx0yDiNFWg4jDiMOI///HTIOI0VaDiOftB0yn7RFWg4j//8AAJ+0//86TwAAAAD//w4jHTIAAA4jOk///w4jDiMOI///DiP//x0y//8OIwAAOk8AAA4jOk8OIwAAAAD/////Ok9FWg4j//8OIw4jDiMOIw4jAACftA4jDiMOIwAA//+ftA4jDiMdMgAADiMAAAAAHTL//w4j//8OIw4jDiMOIzpPDiMOIx0yn7RFWh0y//+ftDpPDiMOIw4jDiMOIw4jRVoOIw4jn7RFWgAADiMOIw4jAAAdMg4j//8OI0VaAACftEVaDiNFWp+0HTL//w4jDiMAAEVaDiOftDpP//9FWjpPDiNFWh0yDiM6Tw4jRVoOIw4jDiMOI///n7QOIwAAOk8OIw4jn7T//w4jAAAAADpP//+ftP//DiM6TzpPDiMOI///DiMOIwAADiMOIw4jHTIdMkVaHTI6TzpPDiOftJ+0Ok+ftB0yn7RFWgAADiP//5+0AAAOIw4jDiOftA4jDiMOI5+0Ok8OIwAAAABFWkVaRVoOI5+0DiMOI///AAD//zpPDiMdMkVan7QOI0VaHTIAAA4jDiMAAEVaDiM6T0VaDiMOIw4jDiMAAEVan7QOI5+0DiMAAAAADiMOIw4jOk8dMg4jDiMOIw4jOk8OIw4jDiMdMg4jDiOftA4jDiOftA4j//9FWg4jn7SftA4j//8AAA4jDiMOIw4jn7QOIw4jAAAOIw4jAAA6Tw4jDiMOI///RVo6TwAARVo6T0VaDiNFWg4jDiMOIx0yn7RFWjpPDiNFWh0yDiP/////HTIOIw4jDiMAAAAADiMdMjpPOk8OIw4jRVoOI0Van7QOI5+0RVoOIzpPAAAOIw4jDiMdMg4jDiMOIw4jDiMAAEVaDiNFWh0y//9FWkVa//8dMg4jAACftDpPn7QOIw4jHTIOIw4jAABFWg4jHTJFWjpPDiMOI0VaAAAOIw4jDiMOIw4jHTL//zpPRVpFWp+0DiMOI///HTIAAEVaAAD//w4jDiP/////DiMOIw4jn7RFWgAARVodMp+0HTIdMp+0//8OIx0yDiMOIzpPDiMOIzpPDiM6T0VaDiMdMh0yDiMAAA4jDiMOIw4jDiNFWgAADiNFWh0yAAAOI///RVo6T0Va//8dMjpPDiM6TwAAHTIOI0VaDiNFWjpPDiOftEVaOk8dMg4j//8dMkVan7QAAEVaHTIOIw4jOk9FWg4jDiMOIw4jDiMOI5+0DiMAAEVaDiM6Tw4jAAAOI5+0DiM6Tw4jn7QAAAAA//9FWg4jDiMAAP//HTL/////AAAOIzpPDiNFWgAADiOftA4jDiMOIw4jHTIOIx0yn7QOI0VaOk86Tx0yDiMOIwAAAAAAADpPDiMdMh0yAAAOIwAARVoOI5+0DiMOIw4jDiMOIwAADiMOIzpPOk86Tw4j//8AAA4jDiMOIwAAOk8OI///HTIdMg4jDiMOIw4jDiM6T0Va//8OI5+0DiMAAB0yOk86Tw4jDiOftJ+0n7T//5+0Ok///0VaOk8OIw4jHTKftA4jHTIOI///DiMAAB0yRVoOIx0yOk9FWkVaDiP//w4jHTIOIzpPHTIOIw4jAAAOIwAADiMOI5+0DiMOIwAAn7QdMkVaDiNFWjpPn7RFWg4jDiMOI///AACftDpPOk8OI0VaOk///w4jAAAdMg4jDiNFWjpPRVoOIw4jAAAdMkVaDiP//w4jHTIAAJ+0DiMdMkVaDiMOI///HTJFWg4jRVoOIx0yHTIOI0VaDiMOI0VaHTI6Tx0yAAAAAA4jDiNFWg4jDiMAAAAA&lt;/dist&gt;</t>
  </si>
  <si>
    <t>&lt;dist name="MR1" avg="6.00000000E+000" min="5.46376191E-001" max="1.18797095E+001" count="1000" type="Double" ver="1.1"&gt;RTLp1qWSKRalkqWSAABFMqWSKRalkqWSHgulkv//RTJUQVRBRTJFMse0OSZFMqWSu6j//6WSVEGlkh4LVEH//0UyWEXHtOnWu6i7qP//RTL//6WSWEU5Jm9cKRalkv//WEWlkkUyRTJUQf//OSb//x4LRTIAAEs4u6g5Jse0pZI5JunWpZLp1h4LOSZYRaWSpZI5JqWS///HtKWSOSa7qKWSRTL//6WSRTKlkkUyRTJYRaWSRTJvXIp3pZI5Jh4LVEFYRVhFHgulkm9c//+lkse0//9FMlRBOSZYRUUypZKlkkUyindALVRB//9UQaWS6dZvXDkmVEE5Jop3VEH//wAASzj//0s4//85JjkmHgtvXEs4SzhFMqWSWEVYRUUyRTI5JkUyu6hLOIp3KRalkqWSpZIeCykWpZJYRTkmb1w5Jm9cpZIAAFRBineKd///b1xvXFRBRTKKdykW6dbp1ruoVEFFMikWVEFALf//OSa7qEUypZKlkkAtinc5JlRBpZI5JkUypZJFMv//QC0AAP//x7QpFkUyx7QpFqWS6dZFMqWSpZJLOEUy6dbHtKWSb1z//ykW//85JlhFWEVUQf//RTJLOIp3VEEpFkUypZKlkikWpZKKd0UyWEVYRTkmpZJLOEUyRTJUQVRBKRalkop3HgseC6WS//85Jv////+lkunWSzjp1v//OSaKd6WSu6ilkkAtpZL//6WSpZLp1kAtWEU5JlRBu6ilkjkmOSalkh4LAAD//0s4WEWlkqWSu6hYRUUypZIAADkmpZIeC6WSpZI5Jv//OSalkjkmRTKlkh4LHgspFh4LRTJUQf//AAD//0UyOSZFMkUyx7SlkjkmVEGlkkUyRTJvXFRBOSalkqWSHgtYRYp3RTJFMkUyKRalkqWS//9UQVRBpZKlkv//OSb//6WSpZL//6WSWEVALf////+lklRBpZIeCzkmOSYAAKWSb1zp1lRBpZIeC8e0//+lkikWRTKlkqWSHgtUQUs4indLOKWSSzjHtMe0x7T//6WS//8eC4p3///HtCkWAADp1qWSRTK7qFhFpZL//zkmKRbHtDkmpZI5Jm9c//9vXG9cRTJUQf//KRZALaWSpZKlkv//b1z//0s4pZL//+nWHgtFMm9cx7Q5JlRBOSb//1RBVEE5JkUyOSalkh4Lx7T//29cKRY5JkAtSzj//6WSHgu7qKWSRTJUQVRB//9ALUUypZIeC8e0x7THtP////85JqWSVEFLOMe06dZFMop3RTL//0AtRTLHtFhFAACKd///OSY5JqWSpZIpFqWSOSZLOCkW//85JunWRTIeCzkm//9FMkUyVEGlkkUyOSZALaWSpZKlkm9cpZJFMv//pZIAAIp3RTLHtB4L6dYeC0Uy//+Kdx4LHguKdx4LKRY5Jop3//9vXIp3pZIeCzkmHgtUQR4Lu6hvXB4LpZL//0UyOSY5JqWS6dZFMkAtpZJLOFRBb1weC0Uy//85JunWQC1FMm9c//8pFv//VEGKd0s4OSalkruou6ilkkUyHgtALaWSinelkqWSRTK7qKWSHgtYRaWSOSZYRW9cWEX//wAApZKlkruoRTLHtP///////6WSOSalkjkminf//4p3//+Kd6WSRTJUQf//pZIpFunW//+lklRBpZIeC29cAABvXKWS//+lkm9cSzj//0Uyx7QAADkmRTKlkjkmpZJUQaWSb1w5JjkmpZIAAAAAAADp1qWSpZJALQAAx7QeC0UypZJYRbuopZIeC0Uy//+lklhFWEVFMkUypZKlklRBinf///////+Kd0Uyb1ylkgAAWEUeC+nWu6ilkm9cinf//1hFpZL//0s4HgspFqWSpZJALTkmu6ilkqWSpZJFMop3//8eCwAARTJFMikWKRa7qP//pZKlkse0HgtLODkmOSZUQf//pZI5JunWpZIeC6WSOSZFMm9cpZJALaWSVEEpFop3SzhFMjkmRTJFMkUyHgseC0UypZJLOG9c6dalkqWSOSbp1op3//+lkkUyx7SlkqWSRTKlkv//RTLHtLuopZKlkjkmVEE5JqWSinc5JlRBRTJFMh4LpZJUQVRBRTKlkse06dalkqWS///HtFRBRTLHtEUypZJLOKWSx7QeCykWpZI5JjkmHgtALaWSWEWlkjkmOSYpFqWSx7QAAEUy6dalkv//HgtUQYp3AAA5JkUy//9vXIp3//8eCykWb1xUQUs4pZKlkunWindUQTkmx7QeC6WSRTJALTkm6dZFMlhFHgtUQW9cinelkkAtVEE5Jv//VEFLOOnW6dY5Jv//RTKlkqWSu6ilkh4LQC2lkm9c//85Jv//pZI5JkUypZK7qFRBKRY5JruoWEVALaWSpZI5Jv//OSaKd1hFOSa7qEUyRTKlkruo//9FMv//Hgs5Jse0VEE5Jv//Hgv//x4LpZIAAP//RTK7qCkWVEH//8e0pZKlkqWSHgtALSkWHgseC6WSWEXp1ikWVEFYRce0WEVUQUUypZI5JkUyRTI5JikWRTKKd0s4OSY5Jjkm//+Kd///pZJFMqWSu6hLODkm6dalkruoincpFqWSAAC7qP//WEUeCzkmx7QpFlhFRTL/////AAAeCzkmWEVUQYp3OSbHtFRBpZJUQUUy6db/////RTIeC6WSHgv//1RBWEUAAAAA&lt;/dist&gt;</t>
  </si>
  <si>
    <t>&lt;dist name="MR2" avg="6.00000000E+000" min="5.46376197E-001" max="1.18797095E+001" count="1000" type="Double" ver="1.1"&gt;K4ZWsTuWTaj//02ovhioAqgCR6Ige1q1O5b//8okAAA7llax//+oAr4YIHv///////+oAqgCO5ZNqKgCIHtWsUeiqAIge///AAD//6gCyiRatSB7K4ZHosokqALKJKgCR6L//zuW//+oAiuGqAJCnagCQp0ge1axVrEge0eiO5aM5yB7VrFatVq1vhgge0eiccxHolaxK4bsRuxGccxNqP//yiRNqFaxqAL//wAAWrU7lr4YWrVNqDuWccxCnTuWVrFCnUKdqAIrhv//R6LKJP//jOdNqDuWqAKoAkei//+oAqgC//8AAFq1AAArhoznqAKoAqgCjOdHouxG//87lqgCAAA7liuGqAIge1axqAJWsUeiyiT//+xGqAKoAkKdjOcgezuWqAKoAqgCO5aoAgAAVrFHogAA//9HojuWqAJCnf//IHvsRv//qAI7lkKdqAKoAlaxWrWoAoznqAJNqMokqAIAAIznqAJatagCTahHokeivhioAqgCjOf//4znIHtNqP////9CnUeiR6L//zuWR6Ige0eiO5YAACB7qAKoAiB7jOf//zuWjOdHosokqAL//wAAO5ZHoqgC//+oAjuWR6JHokKd//+M56gCQp1HooznyiRatagC//+oAkeiqAJWsTuWccz//yB7ccz//3HMqALKJHHMqAKoAv//Tai+GHHMO5ZWsVq1vhiM5yB7IHtHov//R6JHojuWqAKoAoznTaj//0eiVrEge6gC/////zuWQp1Wsf//VrEge4znqAJWsagCR6JHokei7EYge6gCO5ZHoqgCjOdatTuWqAJHolq1O5Yge+xGR6IAAKgCqAIAACB7IHv//zuW//+oAlaxvhioAv////+oAv////+oAkeiqAJNqAAAK4b//+xGO5Zatf//AACoAjuWvhg7lv//K4b//1axK4Y7lk2o//+oAqgCK4aoAjuW//87luxGO5ZWsVq1/////zuWO5Y7lv////9HojuWO5aoAqgCjOf//6gCO5b//wAAvhg7luxGAABatagCIHvsRlq1//8ge6gCvhj//0KdVrE7lnHMO5aoAkeiIHsAADuW//8ge///AAA7llax//+oAiB7//87lqgC//9HoqgCR6KoAkKdqAK+GDuWR6KoAqgCAABHoiuG//8geyuG7EaoAqgCVrHKJKgCIHtWsexGIHs7lr4YQp0AAP//qAJWsVq1Qp3//3HM//+oAiuGqAL/////VrHKJCuG7EZxzKgC7EZWsU2oqAKM5+xGqAKoAiB7qAKoAsokVrFCnf//Qp3//6gCR6KoAqgCR6KoAv////9xzFax7EZHokeiAABHokKdK4ZHok2oTaiM5yB7qAIAAEKdAAA7lv//Taj//8okO5aoAoznQp1xzIznqAJNqFaxAAD//yB7VrHKJCB77EaoAnHMR6KoAqgC//9xzEKdR6KoAk2oVrE7luxGqAKoAkeiccwgewAAQp1xzHHMR6JatTuWVrFHolq1VrH//1axqAKoAjuWQp1CnVaxqAJNqEeiR6I7ljuWR6JHolaxqAJHojuW///KJEeiVrGoAv//jOeoAqgCIHuoAoznAAAge1axjOc7lqgC//+M50KdccyM56gC7EaoAqgCqAJWsUeiVrFNqE2oWrWoAsokqAJWsVaxjOcAAIznQp3sRkKdIHsgeyuG//9HolaxccyoAkeiR6LsRnHMR6KoAiB7O5aM56gC//8geyB7//+oAiB7//9Hosok//9WsXHMqAI7ljuW//+M5zuWqAKoAiuGR6JWsYznTahxzCB7O5Yge4znO5aoAsokIHuM5///R6JHor4YqAL//6gCqAKoAjuWVrH/////O5ZHoiB7Qp2oAv//IHs7lv//qAKoAkeivhg7lqgCWrVHoiuGVrEge8okVrErhiB7IHuoAqgCR6L//zuWVrFxzDuWAACM502oR6IgezuWTagAAP//qAKoAiB7//+oAiuGVrErhv//qAJWsYznO5Yge8okAABHoiB7yiRatexGvhg7lqgCQp3//yB7qAJHolaxQp0ge0eiccwAADuWO5ZWsf//O5aoAqgCVrHKJHHMqAJWsUKd7EYrhiB7Qp3//02oqAKM5+xGAABNqKgCqAK+GKgCTajsRiuGIHsge///O5ZHokeiWrVHolaxqAI7lqgCQp1HoqgCyiQrhlq1ccxHov//Taj//yuGVrGoAqgCTag7lqgCIHs7lkeiR6JWsSB7AABWsf//7EbsRiuGyiTKJEeivhj//zuWO5ZxzE2oqAIAAKgCqAKoAuxGVrGoAiB7O5aoAiB7qAIge///VrH//6gCK4aoAlq1IHtHokKdR6KoAv//K4a+GKgCyiRWsUeiqAJCnVaxWrU7lqgCVrFNqFq1qAI7lqgCqAIgeyB7jOf//3HMqAI7lsokqALsRkei//87lv//7EZxzP//R6JxzP////87lqgCVrGoAqgC//8geyB7WrVHov//Taj//yuGK4ZxzKgCK4aoAgAATaioAkeiO5aM58okqAI7lkei//+oAiB7ccy+GOxGO5aoAv//VrGoAiB77EZxzKgCqAIge1axqAI7ljuWqAI7liB7O5ZWsSB7qAIrhqgC//9NqCB7O5Yge1axVrErhjuWqAL//8okR6I7loznqAI7lqgCvhg7lk2oO5YAAAAA&lt;/dist&gt;</t>
  </si>
  <si>
    <t>Costs</t>
  </si>
  <si>
    <t>Average Cost</t>
  </si>
  <si>
    <t>Average Finish</t>
  </si>
  <si>
    <t>Finish in Months</t>
  </si>
  <si>
    <t>Cost in $000s</t>
  </si>
  <si>
    <t>Bid</t>
  </si>
  <si>
    <t>Penalty</t>
  </si>
  <si>
    <t>Avg. Penalty</t>
  </si>
  <si>
    <t>Profit</t>
  </si>
  <si>
    <t>Avg. Profit</t>
  </si>
  <si>
    <t>Penalty Parameters</t>
  </si>
  <si>
    <t>Deadline (Months)</t>
  </si>
  <si>
    <t>Daily Penalty 000s</t>
  </si>
  <si>
    <t>GANTT Chart Calculations</t>
  </si>
  <si>
    <t>Penalty Calculations</t>
  </si>
  <si>
    <t>&lt;dist name="House Cost" avg="4.00000000E+002" min="2.43253009E+002" max="6.66594544E+002" count="1000" type="Double" ver="1.1"&gt;AAB8iDxITVlcaFllWWUIFHyICBRZZQAASFRIVAAAPEhZZQgUSFRIVEhUAAAAAAgUfIibp/////8AADxITVn//1llfIgIFAAATVlIVAAAAAAIFAgUTVlIVAAATVlZZU1ZPEibp3yITVl8iAgUPEj//01ZPEh8iDxICBQ8SFxoXGhIVFllAAAIFDxIAAA8SJunfIhNWVllWWVNWXyIWWWbp01ZWWX/////AACbp3yIXGhcaFllPEj/////XGhIVEhUPEhIVFllAAB8iE1Z//9NWQAA//9IVP//XGh8iP//WWU8SHyIPEg8SHyIXGg8SAAAWWVIVFllm6ebp1xoSFSbp5unSFRNWf//TVk8SJunCBRcaDxIm6dNWf//AABZZTxITVlZZTxIm6dNWVllm6dZZVxoPEgAAP//PEgIFHyIWWWbp1llAABIVJunWWVIVE1ZWWVcaE1ZSFR8iP//CBQ8SHyIm6f//3yIm6dZZTxIXGibp1llCBSbp5unCBRIVDxICBRNWVllCBT//wgUSFRcaFxoAAAIFDxIm6d8iJunTVlIVEhUfIh8iE1ZXGh8iAgUTVmbp3yITVlNWZunSFQIFE1Zm6d8iP//m6d8iDxICBQAAE1ZCBR8iAgUSFQIFE1ZXGhNWXyISFSbp1xoPEh8iJunPEj//zxIfIibp01ZAABZZf//XGh8iE1ZXGhIVFxoCBQ8SFxoCBRIVAAASFQAAFxo//9ZZf//AABZZU1Zm6dNWQAATVlNWf//CBRIVJunSFRIVFxoWWVNWTxISFRIVFllPEhZZUhU//+bp5unCBRZZQgUXGhNWXyI//9NWZunWWV8iAAAm6f/////XGhcaAgU//+bp///XGhNWQAACBRNWZunTVl8iAgUfIibp1llAABIVHyIAAA8SEhUSFQAAFxoCBRIVE1ZPEgAAP//WWX//wAATVkAAAgUAABZZUhUPEhIVP//PEhZZUhUSFQAAAAAPEibp///AABZZf////9ZZf//SFR8iFllWWX//0hUAAB8iFll//8IFEhUWWVIVEhUCBQAAE1ZAAD/////TVn//zxITVn//wgUfIibpwgUAAB8iDxIWWVNWVxoTVlcaFxom6dNWU1ZfIibp0hUTVn//1llSFQIFE1ZAABNWZunSFR8iJunTVmbp3yICBQAAFllXGhIVJunTVl8iDxIAACbpzxI//+bpwgUWWU8SFxom6f/////TVlZZQAAfIhNWUhUPEhZZf//fIgAAFxoSFRIVDxIAAB8iAAAWWU8SDxI//9caAAA//9ZZUhUXGhZZf//CBQIFJunCBQ8SDxIWWV8iHyIPEh8iAgUfIibp0hUXGgAAHyISFRcaFll//98iFxoTVlcaHyIPEhcaEhUSFSbp5unm6dNWXyITVlNWQAASFQAADxI//8IFJunfIhcaJunCBRIVFllTVlIVJunWWU8SJun//9caFxoTVlIVJunfIhcaHyIXGhIVEhUWWX/////PEgIFFxoXGhNWU1ZPEhcaFxoXGgIFFllWWV8iP//WWV8iFllAACbp1llfIh8iFllAABIVFxoTVlNWf//fIhNWVllSFRNWf//SFQ8SFxoWWVcaAAAm6c8SEhUm6c8SJunTVmbp1llWWVZZQgUfIibpzxIXGibpwgU//8AAAAACBRZZVxoWWVIVEhU//8IFDxIPEhZZVllm6dNWZunfIj//3yIm6dNWTxISFRcaFllXGgIFE1ZXGj//1xoXGhIVJun//+bpwgUAACbp5unAAAIFE1ZSFR8iDxIfIhZZVxoCBRNWVllSFSbp1llCBSbpzxIXGj//5unSFRcaE1ZTVlNWVllCBQAADxIm6ebp3yIXGhNWQAACBRIVJunSFQAAP//WWUAAAAAWWVcaE1ZfIibp0hUm6cIFHyICBQIFHyIAABZZQgU//9caDxIWWVNWTxI//88SJunTVkIFAgUTVlIVFllWWVcaFllTVmbp0hUXGibpwgUSFRNWQAAm6c8SJunAAAIFDxI//88SEhUCBRZZZunTVmbpzxITVl8iJunPEgIFP//AAAIFJunfIhIVJunCBRcaFllPEibp1xoXGhNWU1ZTVlZZXyI//9IVJunWWU8SFxoSFRZZXyI//88SE1ZfIhIVEhUAACbp///TVlIVAAACBQAAAAASFT//zxITVmbp0hU//98iFxo//9NWf//CBRNWQgUfIhcaJunPEg8SAgUXGhcaEhUSFRIVDxIWWUIFAgUSFT//0hUm6dZZXyITVlZZU1ZTVlZZUhU/////zxIPEg8SFxoAABIVP//WWVcaEhUPEhNWQAACBQIFP////9caE1ZWWU8SJunAABNWXyIWWVIVAgUPEg8SP//TVl8iHyIfIgAAHyIPEgAAJunPEhZZVxoCBR8iFllCBRZZQAAWWVIVAgUm6f//wgUPEibp5unWWUAAFxoCBT//zxICBT//01ZSFRZZUhU//9caHyIXGhcaEhUfIgIFJunWWWbpzxIfIibp01Z//9caAAASFR8iDxIPEhcaJunPEgAAE1ZSFQIFFxo//+bpzxIm6f//01ZSFQIFJunXGgAAP//CBRIVHyIWWUIFJun//9caAAACBSbp1llm6dZZQgUCBRNWZun//9ZZZunCBQ8SAgUSFRIVE1Z//+bp1llWWUAAAAA&lt;/dist&gt;</t>
  </si>
  <si>
    <t>&lt;dist name="House Duration" avg="1.20000000E+001" min="7.18770000E+000" max="2.83877000E+001" count="1000" type="Double" ver="1.1"&gt;//+ftDpPDiMOIw4jDiMdMp+0HTIOI///AAAAAP//Ok8OIx0yAAAAAAAA/////x0yn7RFWg4jDiP//zpPDiMOIw4jn7QdMv//DiMAAP////8dMh0yDiMAAP//DiMOIw4jOk9FWp+0DiOftB0yOk8OIw4jOk+ftDpPHTI6Tw4jDiMAAA4j//8dMjpP//86T0Van7QOIw4jDiMOI5+0DiNFWg4jDiMOIw4j//9FWp+0DiMOIw4jOk8OIw4jDiMAAAAAOk8AAA4j//+ftA4jDiMOI///DiMAAA4jDiOftA4jDiM6T5+0Ok86T5+0DiM6T///DiMAAA4jRVpFWg4jAABFWkVaAAAOIw4jDiM6T0VaHTIOIzpPRVoOIw4j//8OIzpPDiMOIzpPRVoOIw4jRVoOIw4jOk///w4jOk8dMp+0DiNFWg4j//8AAEVaDiMAAA4jDiMOIw4jAACftA4jHTI6T5+0RVoOI5+0RVoOIzpPDiNFWg4jHTJFWkVaHTIAADpPHTIOIw4jHTIOIx0yAAAOIw4j//8dMjpPRVqftEVaDiMAAAAAn7SftA4jDiOftB0yDiNFWp+0DiMOI0VaAAAdMg4jRVqftA4jRVqftDpPHTL//w4jHTKftB0yAAAdMg4jDiMOI5+0AABFWg4jOk+ftEVaOk8OIzpPn7RFWg4j//8OIw4jDiOftA4jDiMAAA4jHTI6Tw4jHTIAAP//AAD//w4jDiMOIw4j//8OIw4jRVoOI///DiMOIw4jHTIAAEVaAAAAAA4jDiMOIzpPAAAAAA4jOk8OIwAADiNFWkVaHTIOIx0yDiMOI5+0DiMOI0VaDiOftP//RVoOIw4jDiMOIx0yDiNFWg4jDiMOI///HTIOI0VaDiOftB0yn7RFWg4j//8AAJ+0//86TwAAAAD//w4jHTIAAA4jOk///w4jDiMOI///DiP//x0y//8OIwAAOk8AAA4jOk8OIwAAAAD/////Ok9FWg4j//8OIw4jDiMOIw4jAACftA4jDiMOIwAA//+ftA4jDiMdMgAADiMAAAAAHTL//w4j//8OIw4jDiMOIzpPDiMOIx0yn7RFWh0y//+ftDpPDiMOIw4jDiMOIw4jRVoOIw4jn7RFWgAADiMOIw4jAAAdMg4j//8OI0VaAACftEVaDiNFWp+0HTL//w4jDiMAAEVaDiOftDpP//9FWjpPDiNFWh0yDiM6Tw4jRVoOIw4jDiMOI///n7QOIwAAOk8OIw4jn7T//w4jAAAAADpP//+ftP//DiM6TzpPDiMOI///DiMOIwAADiMOIw4jHTIdMkVaHTI6TzpPDiOftJ+0Ok+ftB0yn7RFWgAADiP//5+0AAAOIw4jDiOftA4jDiMOI5+0Ok8OIwAAAABFWkVaRVoOI5+0DiMOI///AAD//zpPDiMdMkVan7QOI0VaHTIAAA4jDiMAAEVaDiM6T0VaDiMOIw4jDiMAAEVan7QOI5+0DiMAAAAADiMOIw4jOk8dMg4jDiMOIw4jOk8OIw4jDiMdMg4jDiOftA4jDiOftA4j//9FWg4jn7SftA4j//8AAA4jDiMOIw4jn7QOIw4jAAAOIw4jAAA6Tw4jDiMOI///RVo6TwAARVo6T0VaDiNFWg4jDiMOIx0yn7RFWjpPDiNFWh0yDiP/////HTIOIw4jDiMAAAAADiMdMjpPOk8OIw4jRVoOI0Van7QOI5+0RVoOIzpPAAAOIw4jDiMdMg4jDiMOIw4jDiMAAEVaDiNFWh0y//9FWkVa//8dMg4jAACftDpPn7QOIw4jHTIOIw4jAABFWg4jHTJFWjpPDiMOI0VaAAAOIw4jDiMOIw4jHTL//zpPRVpFWp+0DiMOI///HTIAAEVaAAD//w4jDiP/////DiMOIw4jn7RFWgAARVodMp+0HTIdMp+0//8OIx0yDiMOIzpPDiMOIzpPDiM6T0VaDiMdMh0yDiMAAA4jDiMOIw4jDiNFWgAADiNFWh0yAAAOI///RVo6T0Va//8dMjpPDiM6TwAAHTIOI0VaDiNFWjpPDiOftEVaOk8dMg4j//8dMkVan7QAAEVaHTIOIw4jOk9FWg4jDiMOIw4jDiMOI5+0DiMAAEVaDiM6Tw4jAAAOI5+0DiM6Tw4jn7QAAAAA//9FWg4jDiMAAP//HTL/////AAAOIzpPDiNFWgAADiOftA4jDiMOIw4jHTIOIx0yn7QOI0VaOk86Tx0yDiMOIwAAAAAAADpPDiMdMh0yAAAOIwAARVoOI5+0DiMOIw4jDiMOIwAADiMOIzpPOk86Tw4j//8AAA4jDiMOIwAAOk8OI///HTIdMg4jDiMOIw4jDiM6T0Va//8OI5+0DiMAAB0yOk86Tw4jDiOftJ+0n7T//5+0Ok///0VaOk8OIw4jHTKftA4jHTIOI///DiMAAB0yRVoOIx0yOk9FWkVaDiP//w4jHTIOIzpPHTIOIw4jAAAOIwAADiMOI5+0DiMOIwAAn7QdMkVaDiNFWjpPn7RFWg4jDiMOI///AACftDpPOk8OI0VaOk///w4jAAAdMg4jDiNFWjpPRVoOIw4jAAAdMkVaDiP//w4jHTIAAJ+0DiMdMkVaDiMOI///HTJFWg4jRVoOIx0yHTIOI0VaDiMOI0VaHTI6Tx0yAAAAAA4jDiNFWg4jDiMAAAAA&lt;/dist&gt;</t>
  </si>
  <si>
    <t>&lt;dist name="Remodel 1 Cost" avg="2.00000000E+002" min="1.03823177E+002" max="4.37161622E+002" count="1000" type="Double" ver="1.1"&gt;AAApGNPCFgWikTAfDv5NPEs6FgVLOks6Lh3Twl1MAABLOks6FwYAACQTJRRNPEEwQjE6KaKRSzowHxEASzp1ZBcGOyokEykYQjFCMV1MTTxdTDAfOyoP/zopFgVLOjopOypBMBcGTTxLOl1MTTxdTBEAFwYO/nNiQjElFCQTQTAlFCkY08IpGBEATTw7Kot608IlFKKROikkE4t6JRRCMYt6TTx1ZKKRFwaLegAAFwY7KjAfAAA6KWlYMB8lFBEASzo7KjsqEQCikTopXUwwHyQTXUxNPEs6TTw7KgAAMB/TwhcGaVj//0s6OimKeaKRKRg6KSUUinkP/2lYinl1ZA7+c2I6KXNiOiklFE08EQA6KXNic2IXBkEwOyo7KhcGFwYP/008QjFzYmlYFgVBMDAf08IuHRYFi3o7Kg//OiklFDopopEO/op5aVhpWF1MOik6KUs6AABpWBYFKRgpGEIxinkXBhYFinn//zopJRRCMQAA08IwH///aVhNPIp5opEP/xcGMB8AAF1M//8O/nVkJBMWBU08JBMWBYt6KRgXBjAfQTBzYhcGKRgkE0s6OildTBYFXUwlFDsqOyqKeV1MFwZzYmlYSzoWBQAAMB9BMBYFi3ppWAAAOyo7Kk08i3pzYhcGAABLOop5FgUwH2lYLh0uHYt6dWQlFF1MdWSLeikYc2IpGF1MD/9pWEs6QjFBMP//QTBdTEEwi3opGP//OyolFEs6QjHTwiUUD/+ikREADv46KXNiOyowH0s6QjE7KgAA08IO/iUUSzouHdPC08IlFF1MTTzTwk08TTwwHxEALh0WBS4dTTyKeTopDv46KRcGJRQXBgAAJBPTwiUUinmikRcGFwY6KUs6D/9LOks6Lh07KmlYTTxNPAAAFgXTwkEwXUxLOop5opGikXVkTTw6KYt6QTBdTIt6Oyr//11MOinTwks608IuHU08JRQO/jAfOikpGEs6SzoRACQTXUyikRYFFwaLeks6Lh1LOnNiaVhzYtPCc2IkEyQTJBM6KUs6XUwRAGlYXUwkExYFDv4pGEEwAABCMTsqMB91ZA//FgUkEw//08IP/zopOik6KTopFwaKeTopFgX//0s6i3rTwjopOil1ZHNiMB9dTCkYEQAXBjopJBNNPIp5D/91ZIp5inlNPBcGD/+LehEAJBM6KTopFgVNPP//c2JdTKKRLh1CMdPCAABLOop5dWT//xcGQTAuHSQTJBMkEzopXUwP/0s6SzpzYiQTKRgAAGlYAAB1ZP//FwYkEzsqDv5pWDopD/8lFEs6SzoWBaKRJRRzYhYFXUwlFCkYTTwRAE08dWQAABcGSzpBMBcGJRT//0s6MB+ikTopMB8AAF1MopEO/mlYAAAkEy4dKRguHU08XUxpWC4dEQBpWC4dFgUlFGlYdWQ6KWlYSzoRAE08EQCKeREAQjE6KREAQTA6KQAAD/9NPEs6KRgAAP//opFzYks6OikuHU08OilNPCkY//9NPDopdWQWBXVkinlpWHNiTTxLOkIxQjGikU08Lh3//4t6aVhLOjAfTTxCMaKRLh07KtPCJRQ7KjopOyo6KQ7+SzpLOkIxFwYkE11MdWRdTEs6D/8wH008aVg6KWlYOilpWEEwFwZLOjopSzoWBSkYOilBMIp5opEuHTopDv46KTAfOimikTopc2I6KU08JBMO/iUUFwYwHw//i3pLOks6OilNPE0808IO/g7+Dv4pGNPCi3r//w7+JBMRAAAASzo7KkIxopEuHRcGdWSikTsqOyoXBk08QTBLOks6aVh1ZF1MdWRpWBcGOimLeg7+OyouHSkYQjGikTopaVg6KTsqMB9dTHNiEQAWBdPCSzr//w//QjFBMEEwi3oXBmlYOikRAA7+AAAAABYFFgVCMTopMB9BMCQTLh1zYk08JRSKeTop08IlFCkYopERAIt6TTwXBjopQTD//6KRSzoWBWlYc2IXBiUUFwYAABcGEQARABcGi3pzYjopKRiikYt6JRQpGGlYOikwHwAAJBOikUs6TTxBMHVkFwYkE0IxopGLeg//SzolFIt6aVgP/4p5FwYXBhEAopFLOks6FwaLeiQTKRiLeot6OikkE0s6AAAkExcGMB9zYks6JBMuHRYFSzpNPA//Lh3//zAfOyowHyUUJRQWBaKRJBMO/k08KRiikXVkEQBLOmlYDv4P/008Oik6KWlYdWQRABYFOimKeXNiopEwHykYaVhLOiUUJBMRAEs6AAD//yUUKRhNPDsqEQCKeTopaVhLOv//inklFHVkinlzYikYKRglFHVkAADTwqKRQjFBMC4d//8wHzopXUwlFF1MopFNPBcGSzpCMUs6FgVNPEIxOyr//0s6SzolFF1MJRRpWDsqTTxCMU08FwZBMEIxXUxNPF1MLh1NPCQTinklFF1MLh11ZBEAopEO/l1MFwZCMRYFinldTCQTSzqikTAfEQD//xYFEQARAEEwOyopGBYFSzo7KiQTOyqKeRcGopElFE08AAAlFBYFFwZpWHNiJRQP/yUUOilpWF1MopEXBqKRQjFzYiUUKRhBMEIxaVgWBTAfDv5CMV1MOyouHU08JBMWBTsqAABdTHVkDv4uHU08OypLOmlYJRQkE0s6MB+KeU08KRhdTDopFwYuHTAfLh06KYp5OyoAAAAA&lt;/dist&gt;</t>
  </si>
  <si>
    <t>&lt;dist name="Remodel 1 Duration" avg="6.00000000E+000" min="5.46376191E-001" max="1.18797095E+001" count="1000" type="Double" ver="1.1"&gt;RTLp1qWSKRalkqWSAABFMqWSKRalkqWSHgulkv//RTJUQVRBRTJFMse0OSZFMqWSu6j//6WSVEGlkh4LVEH//0UyWEXHtOnWu6i7qP//RTL//6WSWEU5Jm9cKRalkv//WEWlkkUyRTJUQf//OSb//x4LRTIAAEs4u6g5Jse0pZI5JunWpZLp1h4LOSZYRaWSpZI5JqWS///HtKWSOSa7qKWSRTL//6WSRTKlkkUyRTJYRaWSRTJvXIp3pZI5Jh4LVEFYRVhFHgulkm9c//+lkse0//9FMlRBOSZYRUUypZKlkkUyindALVRB//9UQaWS6dZvXDkmVEE5Jop3VEH//wAASzj//0s4//85JjkmHgtvXEs4SzhFMqWSWEVYRUUyRTI5JkUyu6hLOIp3KRalkqWSpZIeCykWpZJYRTkmb1w5Jm9cpZIAAFRBineKd///b1xvXFRBRTKKdykW6dbp1ruoVEFFMikWVEFALf//OSa7qEUypZKlkkAtinc5JlRBpZI5JkUypZJFMv//QC0AAP//x7QpFkUyx7QpFqWS6dZFMqWSpZJLOEUy6dbHtKWSb1z//ykW//85JlhFWEVUQf//RTJLOIp3VEEpFkUypZKlkikWpZKKd0UyWEVYRTkmpZJLOEUyRTJUQVRBKRalkop3HgseC6WS//85Jv////+lkunWSzjp1v//OSaKd6WSu6ilkkAtpZL//6WSpZLp1kAtWEU5JlRBu6ilkjkmOSalkh4LAAD//0s4WEWlkqWSu6hYRUUypZIAADkmpZIeC6WSpZI5Jv//OSalkjkmRTKlkh4LHgspFh4LRTJUQf//AAD//0UyOSZFMkUyx7SlkjkmVEGlkkUyRTJvXFRBOSalkqWSHgtYRYp3RTJFMkUyKRalkqWS//9UQVRBpZKlkv//OSb//6WSpZL//6WSWEVALf////+lklRBpZIeCzkmOSYAAKWSb1zp1lRBpZIeC8e0//+lkikWRTKlkqWSHgtUQUs4indLOKWSSzjHtMe0x7T//6WS//8eC4p3///HtCkWAADp1qWSRTK7qFhFpZL//zkmKRbHtDkmpZI5Jm9c//9vXG9cRTJUQf//KRZALaWSpZKlkv//b1z//0s4pZL//+nWHgtFMm9cx7Q5JlRBOSb//1RBVEE5JkUyOSalkh4Lx7T//29cKRY5JkAtSzj//6WSHgu7qKWSRTJUQVRB//9ALUUypZIeC8e0x7THtP////85JqWSVEFLOMe06dZFMop3RTL//0AtRTLHtFhFAACKd///OSY5JqWSpZIpFqWSOSZLOCkW//85JunWRTIeCzkm//9FMkUyVEGlkkUyOSZALaWSpZKlkm9cpZJFMv//pZIAAIp3RTLHtB4L6dYeC0Uy//+Kdx4LHguKdx4LKRY5Jop3//9vXIp3pZIeCzkmHgtUQR4Lu6hvXB4LpZL//0UyOSY5JqWS6dZFMkAtpZJLOFRBb1weC0Uy//85JunWQC1FMm9c//8pFv//VEGKd0s4OSalkruou6ilkkUyHgtALaWSinelkqWSRTK7qKWSHgtYRaWSOSZYRW9cWEX//wAApZKlkruoRTLHtP///////6WSOSalkjkminf//4p3//+Kd6WSRTJUQf//pZIpFunW//+lklRBpZIeC29cAABvXKWS//+lkm9cSzj//0Uyx7QAADkmRTKlkjkmpZJUQaWSb1w5JjkmpZIAAAAAAADp1qWSpZJALQAAx7QeC0UypZJYRbuopZIeC0Uy//+lklhFWEVFMkUypZKlklRBinf///////+Kd0Uyb1ylkgAAWEUeC+nWu6ilkm9cinf//1hFpZL//0s4HgspFqWSpZJALTkmu6ilkqWSpZJFMop3//8eCwAARTJFMikWKRa7qP//pZKlkse0HgtLODkmOSZUQf//pZI5JunWpZIeC6WSOSZFMm9cpZJALaWSVEEpFop3SzhFMjkmRTJFMkUyHgseC0UypZJLOG9c6dalkqWSOSbp1op3//+lkkUyx7SlkqWSRTKlkv//RTLHtLuopZKlkjkmVEE5JqWSinc5JlRBRTJFMh4LpZJUQVRBRTKlkse06dalkqWS///HtFRBRTLHtEUypZJLOKWSx7QeCykWpZI5JjkmHgtALaWSWEWlkjkmOSYpFqWSx7QAAEUy6dalkv//HgtUQYp3AAA5JkUy//9vXIp3//8eCykWb1xUQUs4pZKlkunWindUQTkmx7QeC6WSRTJALTkm6dZFMlhFHgtUQW9cinelkkAtVEE5Jv//VEFLOOnW6dY5Jv//RTKlkqWSu6ilkh4LQC2lkm9c//85Jv//pZI5JkUypZK7qFRBKRY5JruoWEVALaWSpZI5Jv//OSaKd1hFOSa7qEUyRTKlkruo//9FMv//Hgs5Jse0VEE5Jv//Hgv//x4LpZIAAP//RTK7qCkWVEH//8e0pZKlkqWSHgtALSkWHgseC6WSWEXp1ikWVEFYRce0WEVUQUUypZI5JkUyRTI5JikWRTKKd0s4OSY5Jjkm//+Kd///pZJFMqWSu6hLODkm6dalkruoincpFqWSAAC7qP//WEUeCzkmx7QpFlhFRTL/////AAAeCzkmWEVUQYp3OSbHtFRBpZJUQUUy6db/////RTIeC6WSHgv//1RBWEUAAAAA&lt;/dist&gt;</t>
  </si>
  <si>
    <t>&lt;dist name="Remodel 2 Cost" avg="2.00000000E+002" min="1.03823177E+002" max="4.37161622E+002" count="1000" type="Double" ver="1.1"&gt;EL6FMgq4bhs04m4bPOqdSirYAAAo1jXjR/VYBR7MCbdH9UXzcB1F8zzqC7k04lgFWAUq2CrYCrhuG51KC7lF80f1O+ko1nAdCbdwHSrYHsw14wu5EL4AAB7MKtgezDvpEb804h/NWAUq2BC+nUr//857//8LuUXzhTILuQAAH81kEQu5hTI14zXjPOoo1gAANOJH9UXzEL4j0SPRNOJuGzTiHsxuG0XznUpwHQm3NeMKuDzqNeNuG0f1NOL//0f1hTL/////O+kQvnAdEb8ezFgFZBFuGx/NznvOe0f1NOLOe4YzNOIJtzXjCbcQvmQRKtg76TvpZBFH9SPRWAUfzTvpCbcfzRC+znsLuYUyznuFMkf1HsxYBSPRO+lF8///ZBEo1h/NnUqGM857H82GMwm3hTIRvwm3NOIAAEf1Ktj//3AdKNYj0XAdznsfzf//O+nOe4UyNePOe2QRKthuGx7MKtgJt2QRRfM140XzbhsRv0f1POoq2DvpZBFwHWQRC7luGzTiWAX//0f1R/VYBQq4R/Uo1gAACrgJtyjWhjMq2Au5ZBFYBUf1ZBEAAB7MRfNYBQm3CrgAAEXzNOIq2Aq4Eb9H9f//NOJkETvp//8AAGQRHsw14zvpcB3Oe0f1nUqFMkf1NOJwHQu5NOI04jTiRfMezDTiRfOGM1gFbhs86jTiR/WFMjXjPOpkEQu5KNZH9VgFR/VH9Uf1KtiGM2QRbhs04hG/hTILuTvpNOI04h/N//9F8zTiRfMo1mQRRfOFMkXzR/VH9QAAI9ELuc57H80AAJ1KZBE140f1O+kRvzXjR/Uo1iPRR/UJt51KKtgJtyjWC7lwHQq4cB2GM0XzPOqGM3AdWAU76TTiNOKdShG/KthuGwm3EL5YBSPRH80141gFCbedSgq4POofzTTiEL404kXzEL4fzW4bNOKdSp1KEL7Oe0f1WAUfzSPRR/WFMjXjNOJwHR/NH81H9TTiWAUAAB/NR/Uq2IYzZBE04oYzCrhYBQm3POpH9SPRCbc14zvpC7kj0TXjWAUo1kXzPOpwHf//hTIKuDTiCrg76Uf1KNYJtwq4cB0o1jTiCbdH9YUyNOJF8wu5WAUKuM57NOIAAM57R/XOe///RfM86h/NEb+GM857CbcAABC+WAUo1hC+I9GGMyrYRfMezDvpKNZF8yPRC7kfzTzq//8JtzTiO+mFMjXj//9YBTTiNOKGMxC+nUpwHVgFhTIezBC+I9E04p1KI9GFMm4bO+lkESPRRfMq2CjWKtg76R7MRfP//1gF//9wHSrYAADOe4YzEb+dSnAdNOI04kXzI9EAAEf1CbdH9f//EL4Rv24bbhtkESjWznsJt///CbcKuFgFbhtYBR7MR/Uq2GQR//804mQRRfNuG4UyCbc04ijWRfMezCjWI9E76TTiR/WGM857cB004v//R/WGM24bhTJH9SPRO+lF8xG/NOILuQm3//804jTiR/U14x/NhTIAADXjhTJwHYUynUrOex/N/////4UynUpuG0f1R/UKuEf1AABH9YUyhjNH9Uf1NOIezEf1RfM76VgFZBE76YYzKNY76WQRCbco1oUyZBEfzSrYcB1kEf//NOJkESrYI9GdSp1KKtiFMkf1hTJuG24bNeNF8x7MO+mFMkXzZBEJt2QR//8j0f//KNYLuRC+NOJH9UXzNOIq2Ef1R/Uj0TTiR/WGMyjWR/VkESrYWAUo1ijWWAUq2Au5NOIAAB7McB2FMjTiRfMKuB/NNOJkER/NRfPOexC+Eb9F82QRbhs04gu5CrgLuWQRCridSh7MKNZkEXAdR/VH9TzqRfM04s57hjOdSkf1RfNYBVgFH80Rvwu5//+GMzTiKNYKuHAdRfMq2AAAPOofzUXzNeNH9RC+hTILuR7MRfMQvijWC7lF80XzR/U04h/NRfM04h/NCbdkEW4bR/Uo1gq4bhsJt1gFzns76SjWWAUq2BC+RfMQvjTiKtiFMmQRCrgo1h7MCbcAACjWHsw14yPRPOoKuM57//804ijWKtgRv0Xz//8o1hG/NOIJtwq4CrhF83AdR/WGM857RfMezDTihjOFMv//I9EQvgu5//804m4bnUpkESPRCbduG51KRfM86p1Kbhsj0RC+C7ko1jTiR/UAAEf1NeNH9UXzRfMKuCrY//9H9c57HswQvjXjNOIRvzTibhs04hC+hTIq2CrYbhtH9YYzKNYfzQAAR/WFMgu5CbdF8zTiI9Ej0RC+HswezBG/POo04kf1H8004m4bO+kJt51KKthF8yPRRfM76Qu5H8076SjWnUoLuXAdhTI04kXzEL476TXjC7kAAP//AACdSlgFEL486s57HsyFMhG/Ktj//0XzNeMfzZ1KRfNuGzXjzntH9SrYO+ko1ijWZBFYBTTiKthH9R7MKtgj0Uf1NOIfzTTiI9E04nAdEb804jTicB0KuM57hTLOezvpcB0o1gu5NeNH9VgFbhtwHRC+EL404s57EL6dSgm3bhtF80f1R/VkER7MzntH9Uf1NOJF8yjWNOI86iPRCriGM3AdhTIq2CjWI9E04p1KKtgo1oUyznsfzQq4KtgKuCjWR/WFMijWKtgQvkXzNOJuGwu5R/Uo1oUyhTIQvkf1hjNwHR7MEb8KuGQRRfMfzUXzPOoKuG4bH80AAAAA&lt;/dist&gt;</t>
  </si>
  <si>
    <t>Histogram Data</t>
  </si>
  <si>
    <t>Cumulative Graph Data</t>
  </si>
  <si>
    <t>Calculations Below</t>
  </si>
  <si>
    <t>Profit Level</t>
  </si>
  <si>
    <t>Chance of Profit Below this Level</t>
  </si>
  <si>
    <t>Percentile Scroll Bar</t>
  </si>
  <si>
    <t>&lt;dist name="Remodel 2 Duration" avg="6.00000000E+000" min="5.46376197E-001" max="1.18797095E+001" count="1000" type="Double" ver="1.1"&gt;K4ZWsTuWTaj//02ovhioAqgCR6Ige1q1O5b//8okAAA7llax//+oAr4YIHv///////+oAqgCO5ZNqKgCIHtWsUeiqAIge///AAD//6gCyiRatSB7K4ZHosokqALKJKgCR6L//zuW//+oAiuGqAJCnagCQp0ge1axVrEge0eiO5aM5yB7VrFatVq1vhgge0eiccxHolaxK4bsRuxGccxNqP//yiRNqFaxqAL//wAAWrU7lr4YWrVNqDuWccxCnTuWVrFCnUKdqAIrhv//R6LKJP//jOdNqDuWqAKoAkei//+oAqgC//8AAFq1AAArhoznqAKoAqgCjOdHouxG//87lqgCAAA7liuGqAIge1axqAJWsUeiyiT//+xGqAKoAkKdjOcgezuWqAKoAqgCO5aoAgAAVrFHogAA//9HojuWqAJCnf//IHvsRv//qAI7lkKdqAKoAlaxWrWoAoznqAJNqMokqAIAAIznqAJatagCTahHokeivhioAqgCjOf//4znIHtNqP////9CnUeiR6L//zuWR6Ige0eiO5YAACB7qAKoAiB7jOf//zuWjOdHosokqAL//wAAO5ZHoqgC//+oAjuWR6JHokKd//+M56gCQp1HooznyiRatagC//+oAkeiqAJWsTuWccz//yB7ccz//3HMqALKJHHMqAKoAv//Tai+GHHMO5ZWsVq1vhiM5yB7IHtHov//R6JHojuWqAKoAoznTaj//0eiVrEge6gC/////zuWQp1Wsf//VrEge4znqAJWsagCR6JHokei7EYge6gCO5ZHoqgCjOdatTuWqAJHolq1O5Yge+xGR6IAAKgCqAIAACB7IHv//zuW//+oAlaxvhioAv////+oAv////+oAkeiqAJNqAAAK4b//+xGO5Zatf//AACoAjuWvhg7lv//K4b//1axK4Y7lk2o//+oAqgCK4aoAjuW//87luxGO5ZWsVq1/////zuWO5Y7lv////9HojuWO5aoAqgCjOf//6gCO5b//wAAvhg7luxGAABatagCIHvsRlq1//8ge6gCvhj//0KdVrE7lnHMO5aoAkeiIHsAADuW//8ge///AAA7llax//+oAiB7//87lqgC//9HoqgCR6KoAkKdqAK+GDuWR6KoAqgCAABHoiuG//8geyuG7EaoAqgCVrHKJKgCIHtWsexGIHs7lr4YQp0AAP//qAJWsVq1Qp3//3HM//+oAiuGqAL/////VrHKJCuG7EZxzKgC7EZWsU2oqAKM5+xGqAKoAiB7qAKoAsokVrFCnf//Qp3//6gCR6KoAqgCR6KoAv////9xzFax7EZHokeiAABHokKdK4ZHok2oTaiM5yB7qAIAAEKdAAA7lv//Taj//8okO5aoAoznQp1xzIznqAJNqFaxAAD//yB7VrHKJCB77EaoAnHMR6KoAqgC//9xzEKdR6KoAk2oVrE7luxGqAKoAkeiccwgewAAQp1xzHHMR6JatTuWVrFHolq1VrH//1axqAKoAjuWQp1CnVaxqAJNqEeiR6I7ljuWR6JHolaxqAJHojuW///KJEeiVrGoAv//jOeoAqgCIHuoAoznAAAge1axjOc7lqgC//+M50KdccyM56gC7EaoAqgCqAJWsUeiVrFNqE2oWrWoAsokqAJWsVaxjOcAAIznQp3sRkKdIHsgeyuG//9HolaxccyoAkeiR6LsRnHMR6KoAiB7O5aM56gC//8geyB7//+oAiB7//9Hosok//9WsXHMqAI7ljuW//+M5zuWqAKoAiuGR6JWsYznTahxzCB7O5Yge4znO5aoAsokIHuM5///R6JHor4YqAL//6gCqAKoAjuWVrH/////O5ZHoiB7Qp2oAv//IHs7lv//qAKoAkeivhg7lqgCWrVHoiuGVrEge8okVrErhiB7IHuoAqgCR6L//zuWVrFxzDuWAACM502oR6IgezuWTagAAP//qAKoAiB7//+oAiuGVrErhv//qAJWsYznO5Yge8okAABHoiB7yiRatexGvhg7lqgCQp3//yB7qAJHolaxQp0ge0eiccwAADuWO5ZWsf//O5aoAqgCVrHKJHHMqAJWsUKd7EYrhiB7Qp3//02oqAKM5+xGAABNqKgCqAK+GKgCTajsRiuGIHsge///O5ZHokeiWrVHolaxqAI7lqgCQp1HoqgCyiQrhlq1ccxHov//Taj//yuGVrGoAqgCTag7lqgCIHs7lkeiR6JWsSB7AABWsf//7EbsRiuGyiTKJEeivhj//zuWO5ZxzE2oqAIAAKgCqAKoAuxGVrGoAiB7O5aoAiB7qAIge///VrH//6gCK4aoAlq1IHtHokKdR6KoAv//K4a+GKgCyiRWsUeiqAJCnVaxWrU7lqgCVrFNqFq1qAI7lqgCqAIgeyB7jOf//3HMqAI7lsokqALsRkei//87lv//7EZxzP//R6JxzP////87lqgCVrGoAqgC//8geyB7WrVHov//Taj//yuGK4ZxzKgCK4aoAgAATaioAkeiO5aM58okqAI7lkei//+oAiB7ccy+GOxGO5aoAv//VrGoAiB77EZxzKgCqAIge1axqAI7ljuWqAI7liB7O5ZWsSB7qAIrhqgC//9NqCB7O5Yge1axVrErhjuWqAL//8okR6I7loznqAI7lqgCvhg7lk2oO5YAAAAA&lt;/dist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</si>
</sst>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&quot;$&quot;#,##0"/>
    <numFmt numFmtId="166" formatCode="&quot;$&quot;#,##0.00"/>
    <numFmt numFmtId="167" formatCode="0.000"/>
    <numFmt numFmtId="168" formatCode="0.0000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7">
    <xf numFmtId="0" fontId="0" fillId="0" borderId="0" xfId="0"/>
    <xf numFmtId="0" fontId="0" fillId="2" borderId="0" xfId="0" applyFill="1"/>
    <xf numFmtId="164" fontId="0" fillId="2" borderId="0" xfId="0" applyNumberFormat="1" applyFill="1"/>
    <xf numFmtId="0" fontId="1" fillId="2" borderId="0" xfId="0" applyFont="1" applyFill="1"/>
    <xf numFmtId="164" fontId="1" fillId="2" borderId="0" xfId="0" applyNumberFormat="1" applyFont="1" applyFill="1" applyAlignment="1">
      <alignment horizontal="left"/>
    </xf>
    <xf numFmtId="1" fontId="0" fillId="2" borderId="0" xfId="0" applyNumberFormat="1" applyFill="1"/>
    <xf numFmtId="1" fontId="0" fillId="0" borderId="0" xfId="0" applyNumberFormat="1"/>
    <xf numFmtId="9" fontId="0" fillId="2" borderId="0" xfId="1" applyFont="1" applyFill="1"/>
    <xf numFmtId="165" fontId="1" fillId="2" borderId="0" xfId="0" applyNumberFormat="1" applyFont="1" applyFill="1" applyAlignment="1">
      <alignment horizontal="left"/>
    </xf>
    <xf numFmtId="167" fontId="0" fillId="2" borderId="0" xfId="0" applyNumberFormat="1" applyFill="1"/>
    <xf numFmtId="168" fontId="0" fillId="2" borderId="0" xfId="0" applyNumberFormat="1" applyFill="1"/>
    <xf numFmtId="0" fontId="3" fillId="2" borderId="1" xfId="0" applyFont="1" applyFill="1" applyBorder="1" applyAlignment="1">
      <alignment horizontal="center"/>
    </xf>
    <xf numFmtId="166" fontId="3" fillId="2" borderId="1" xfId="0" applyNumberFormat="1" applyFont="1" applyFill="1" applyBorder="1" applyAlignment="1">
      <alignment horizontal="center"/>
    </xf>
    <xf numFmtId="0" fontId="3" fillId="2" borderId="0" xfId="0" applyFont="1" applyFill="1" applyAlignment="1">
      <alignment horizontal="left"/>
    </xf>
    <xf numFmtId="0" fontId="0" fillId="3" borderId="0" xfId="0" applyFill="1"/>
    <xf numFmtId="0" fontId="0" fillId="2" borderId="0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2" fontId="0" fillId="2" borderId="7" xfId="0" applyNumberFormat="1" applyFill="1" applyBorder="1"/>
    <xf numFmtId="9" fontId="1" fillId="2" borderId="0" xfId="1" applyFont="1" applyFill="1" applyAlignment="1">
      <alignment horizontal="left"/>
    </xf>
    <xf numFmtId="0" fontId="3" fillId="2" borderId="0" xfId="0" applyFont="1" applyFill="1" applyAlignment="1">
      <alignment wrapText="1"/>
    </xf>
    <xf numFmtId="0" fontId="4" fillId="2" borderId="0" xfId="0" applyFont="1" applyFill="1"/>
    <xf numFmtId="0" fontId="0" fillId="2" borderId="7" xfId="0" quotePrefix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5"/>
    </mc:Choice>
    <mc:Fallback>
      <c:style val="25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2254712385069"/>
          <c:y val="7.7506778375553378E-2"/>
          <c:w val="0.83856627941483419"/>
          <c:h val="0.53821217328007909"/>
        </c:manualLayout>
      </c:layout>
      <c:barChart>
        <c:barDir val="bar"/>
        <c:grouping val="stacked"/>
        <c:varyColors val="0"/>
        <c:ser>
          <c:idx val="0"/>
          <c:order val="0"/>
          <c:invertIfNegative val="0"/>
          <c:cat>
            <c:strRef>
              <c:f>'Project Model'!$E$37:$E$39</c:f>
              <c:strCache>
                <c:ptCount val="3"/>
                <c:pt idx="0">
                  <c:v>Remodel 2</c:v>
                </c:pt>
                <c:pt idx="1">
                  <c:v>Remodel 1</c:v>
                </c:pt>
                <c:pt idx="2">
                  <c:v>Build House</c:v>
                </c:pt>
              </c:strCache>
            </c:strRef>
          </c:cat>
          <c:val>
            <c:numRef>
              <c:f>'Project Model'!$F$37:$F$39</c:f>
              <c:numCache>
                <c:formatCode>General</c:formatCode>
                <c:ptCount val="3"/>
              </c:numCache>
            </c:numRef>
          </c:val>
        </c:ser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'Project Model'!$E$37:$E$39</c:f>
              <c:strCache>
                <c:ptCount val="3"/>
                <c:pt idx="0">
                  <c:v>Remodel 2</c:v>
                </c:pt>
                <c:pt idx="1">
                  <c:v>Remodel 1</c:v>
                </c:pt>
                <c:pt idx="2">
                  <c:v>Build House</c:v>
                </c:pt>
              </c:strCache>
            </c:strRef>
          </c:cat>
          <c:val>
            <c:numRef>
              <c:f>'Project Model'!$G$37:$G$39</c:f>
              <c:numCache>
                <c:formatCode>0.0</c:formatCode>
                <c:ptCount val="3"/>
                <c:pt idx="0">
                  <c:v>12</c:v>
                </c:pt>
                <c:pt idx="1">
                  <c:v>12</c:v>
                </c:pt>
                <c:pt idx="2" formatCode="General">
                  <c:v>0</c:v>
                </c:pt>
              </c:numCache>
            </c:numRef>
          </c:val>
        </c:ser>
        <c:ser>
          <c:idx val="2"/>
          <c:order val="2"/>
          <c:spPr>
            <a:solidFill>
              <a:schemeClr val="bg1">
                <a:lumMod val="65000"/>
              </a:schemeClr>
            </a:solidFill>
          </c:spPr>
          <c:invertIfNegative val="0"/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dPt>
          <c:cat>
            <c:strRef>
              <c:f>'Project Model'!$E$37:$E$39</c:f>
              <c:strCache>
                <c:ptCount val="3"/>
                <c:pt idx="0">
                  <c:v>Remodel 2</c:v>
                </c:pt>
                <c:pt idx="1">
                  <c:v>Remodel 1</c:v>
                </c:pt>
                <c:pt idx="2">
                  <c:v>Build House</c:v>
                </c:pt>
              </c:strCache>
            </c:strRef>
          </c:cat>
          <c:val>
            <c:numRef>
              <c:f>'Project Model'!$H$37:$H$39</c:f>
              <c:numCache>
                <c:formatCode>0.0</c:formatCode>
                <c:ptCount val="3"/>
                <c:pt idx="0">
                  <c:v>6</c:v>
                </c:pt>
                <c:pt idx="1">
                  <c:v>6</c:v>
                </c:pt>
                <c:pt idx="2">
                  <c:v>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2"/>
        <c:overlap val="100"/>
        <c:axId val="422777216"/>
        <c:axId val="422778752"/>
      </c:barChart>
      <c:catAx>
        <c:axId val="422777216"/>
        <c:scaling>
          <c:orientation val="minMax"/>
        </c:scaling>
        <c:delete val="0"/>
        <c:axPos val="l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422778752"/>
        <c:crosses val="autoZero"/>
        <c:auto val="1"/>
        <c:lblAlgn val="ctr"/>
        <c:lblOffset val="100"/>
        <c:noMultiLvlLbl val="0"/>
      </c:catAx>
      <c:valAx>
        <c:axId val="422778752"/>
        <c:scaling>
          <c:orientation val="minMax"/>
          <c:max val="48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Months</a:t>
                </a:r>
              </a:p>
            </c:rich>
          </c:tx>
          <c:layout>
            <c:manualLayout>
              <c:xMode val="edge"/>
              <c:yMode val="edge"/>
              <c:x val="0.19799627350516888"/>
              <c:y val="0.788894171900824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US"/>
          </a:p>
        </c:txPr>
        <c:crossAx val="422777216"/>
        <c:crosses val="autoZero"/>
        <c:crossBetween val="between"/>
        <c:majorUnit val="1"/>
      </c:valAx>
      <c:spPr>
        <a:noFill/>
        <a:ln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b="1"/>
      </a:pPr>
      <a:endParaRPr lang="en-US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Profit Histogram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54672861751147"/>
          <c:y val="0.18511896451893381"/>
          <c:w val="0.77605879813706169"/>
          <c:h val="0.63418050178851959"/>
        </c:manualLayout>
      </c:layout>
      <c:barChart>
        <c:barDir val="col"/>
        <c:grouping val="clustered"/>
        <c:varyColors val="0"/>
        <c:ser>
          <c:idx val="0"/>
          <c:order val="0"/>
          <c:tx>
            <c:v>BinCounts</c:v>
          </c:tx>
          <c:spPr>
            <a:solidFill>
              <a:schemeClr val="bg1">
                <a:lumMod val="65000"/>
              </a:schemeClr>
            </a:solidFill>
            <a:ln>
              <a:solidFill>
                <a:srgbClr val="010000"/>
              </a:solidFill>
              <a:prstDash val="solid"/>
            </a:ln>
          </c:spPr>
          <c:invertIfNegative val="0"/>
          <c:cat>
            <c:numRef>
              <c:f>'Graph Data'!$C$7:$C$16</c:f>
              <c:numCache>
                <c:formatCode>0</c:formatCode>
                <c:ptCount val="10"/>
                <c:pt idx="0">
                  <c:v>-600</c:v>
                </c:pt>
                <c:pt idx="1">
                  <c:v>-500</c:v>
                </c:pt>
                <c:pt idx="2">
                  <c:v>-400</c:v>
                </c:pt>
                <c:pt idx="3">
                  <c:v>-300</c:v>
                </c:pt>
                <c:pt idx="4">
                  <c:v>-200</c:v>
                </c:pt>
                <c:pt idx="5">
                  <c:v>-100</c:v>
                </c:pt>
                <c:pt idx="6">
                  <c:v>0</c:v>
                </c:pt>
                <c:pt idx="7">
                  <c:v>100</c:v>
                </c:pt>
                <c:pt idx="8">
                  <c:v>200</c:v>
                </c:pt>
                <c:pt idx="9">
                  <c:v>300</c:v>
                </c:pt>
              </c:numCache>
            </c:numRef>
          </c:cat>
          <c:val>
            <c:numRef>
              <c:f>'Graph Data'!$D$7:$D$16</c:f>
              <c:numCache>
                <c:formatCode>0%</c:formatCode>
                <c:ptCount val="10"/>
                <c:pt idx="0">
                  <c:v>1.0999999999999999E-2</c:v>
                </c:pt>
                <c:pt idx="1">
                  <c:v>2.5999999999999999E-2</c:v>
                </c:pt>
                <c:pt idx="2">
                  <c:v>5.7000000000000002E-2</c:v>
                </c:pt>
                <c:pt idx="3">
                  <c:v>9.5000000000000001E-2</c:v>
                </c:pt>
                <c:pt idx="4">
                  <c:v>0.11600000000000001</c:v>
                </c:pt>
                <c:pt idx="5">
                  <c:v>0.15</c:v>
                </c:pt>
                <c:pt idx="6">
                  <c:v>0.16400000000000001</c:v>
                </c:pt>
                <c:pt idx="7">
                  <c:v>0.214</c:v>
                </c:pt>
                <c:pt idx="8">
                  <c:v>0.14099999999999999</c:v>
                </c:pt>
                <c:pt idx="9">
                  <c:v>2.5999999999999999E-2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22802944"/>
        <c:axId val="422804864"/>
      </c:barChart>
      <c:catAx>
        <c:axId val="422802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$000s</a:t>
                </a:r>
              </a:p>
            </c:rich>
          </c:tx>
          <c:layout>
            <c:manualLayout>
              <c:xMode val="edge"/>
              <c:yMode val="edge"/>
              <c:x val="0.42072960497372058"/>
              <c:y val="0.91269472629121673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22804864"/>
        <c:crosses val="autoZero"/>
        <c:auto val="1"/>
        <c:lblAlgn val="ctr"/>
        <c:lblOffset val="100"/>
        <c:noMultiLvlLbl val="0"/>
      </c:catAx>
      <c:valAx>
        <c:axId val="42280486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42280294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Profit Cumulative Distribution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8111649711948524"/>
          <c:y val="0.18505704782991092"/>
          <c:w val="0.73138146570918094"/>
          <c:h val="0.64400084288364878"/>
        </c:manualLayout>
      </c:layout>
      <c:scatterChart>
        <c:scatterStyle val="smoothMarker"/>
        <c:varyColors val="0"/>
        <c:ser>
          <c:idx val="0"/>
          <c:order val="0"/>
          <c:tx>
            <c:v>Cumulative</c:v>
          </c:tx>
          <c:spPr>
            <a:ln>
              <a:solidFill>
                <a:srgbClr val="010000"/>
              </a:solidFill>
              <a:prstDash val="solid"/>
            </a:ln>
          </c:spPr>
          <c:marker>
            <c:symbol val="none"/>
          </c:marker>
          <c:xVal>
            <c:numRef>
              <c:f>'Graph Data'!$O$5:$O$55</c:f>
              <c:numCache>
                <c:formatCode>General</c:formatCode>
                <c:ptCount val="51"/>
                <c:pt idx="0">
                  <c:v>-600</c:v>
                </c:pt>
                <c:pt idx="1">
                  <c:v>-580</c:v>
                </c:pt>
                <c:pt idx="2">
                  <c:v>-560</c:v>
                </c:pt>
                <c:pt idx="3">
                  <c:v>-540</c:v>
                </c:pt>
                <c:pt idx="4">
                  <c:v>-520</c:v>
                </c:pt>
                <c:pt idx="5">
                  <c:v>-500</c:v>
                </c:pt>
                <c:pt idx="6">
                  <c:v>-480</c:v>
                </c:pt>
                <c:pt idx="7">
                  <c:v>-460</c:v>
                </c:pt>
                <c:pt idx="8">
                  <c:v>-440</c:v>
                </c:pt>
                <c:pt idx="9">
                  <c:v>-420</c:v>
                </c:pt>
                <c:pt idx="10">
                  <c:v>-400</c:v>
                </c:pt>
                <c:pt idx="11">
                  <c:v>-380</c:v>
                </c:pt>
                <c:pt idx="12">
                  <c:v>-360</c:v>
                </c:pt>
                <c:pt idx="13">
                  <c:v>-340</c:v>
                </c:pt>
                <c:pt idx="14">
                  <c:v>-320</c:v>
                </c:pt>
                <c:pt idx="15">
                  <c:v>-300</c:v>
                </c:pt>
                <c:pt idx="16">
                  <c:v>-280</c:v>
                </c:pt>
                <c:pt idx="17">
                  <c:v>-260</c:v>
                </c:pt>
                <c:pt idx="18">
                  <c:v>-240</c:v>
                </c:pt>
                <c:pt idx="19">
                  <c:v>-220</c:v>
                </c:pt>
                <c:pt idx="20">
                  <c:v>-200</c:v>
                </c:pt>
                <c:pt idx="21">
                  <c:v>-180</c:v>
                </c:pt>
                <c:pt idx="22">
                  <c:v>-160</c:v>
                </c:pt>
                <c:pt idx="23">
                  <c:v>-140</c:v>
                </c:pt>
                <c:pt idx="24">
                  <c:v>-120</c:v>
                </c:pt>
                <c:pt idx="25">
                  <c:v>-100</c:v>
                </c:pt>
                <c:pt idx="26">
                  <c:v>-80</c:v>
                </c:pt>
                <c:pt idx="27">
                  <c:v>-60</c:v>
                </c:pt>
                <c:pt idx="28">
                  <c:v>-40</c:v>
                </c:pt>
                <c:pt idx="29">
                  <c:v>-20</c:v>
                </c:pt>
                <c:pt idx="30">
                  <c:v>0</c:v>
                </c:pt>
                <c:pt idx="31">
                  <c:v>20</c:v>
                </c:pt>
                <c:pt idx="32">
                  <c:v>40</c:v>
                </c:pt>
                <c:pt idx="33">
                  <c:v>60</c:v>
                </c:pt>
                <c:pt idx="34">
                  <c:v>80</c:v>
                </c:pt>
                <c:pt idx="35">
                  <c:v>100</c:v>
                </c:pt>
                <c:pt idx="36">
                  <c:v>120</c:v>
                </c:pt>
                <c:pt idx="37">
                  <c:v>140</c:v>
                </c:pt>
                <c:pt idx="38">
                  <c:v>160</c:v>
                </c:pt>
                <c:pt idx="39">
                  <c:v>180</c:v>
                </c:pt>
                <c:pt idx="40">
                  <c:v>200</c:v>
                </c:pt>
                <c:pt idx="41">
                  <c:v>220</c:v>
                </c:pt>
                <c:pt idx="42">
                  <c:v>240</c:v>
                </c:pt>
                <c:pt idx="43">
                  <c:v>260</c:v>
                </c:pt>
                <c:pt idx="44">
                  <c:v>280</c:v>
                </c:pt>
                <c:pt idx="45">
                  <c:v>300</c:v>
                </c:pt>
                <c:pt idx="46">
                  <c:v>320</c:v>
                </c:pt>
                <c:pt idx="47">
                  <c:v>340</c:v>
                </c:pt>
                <c:pt idx="48">
                  <c:v>360</c:v>
                </c:pt>
                <c:pt idx="49">
                  <c:v>380</c:v>
                </c:pt>
                <c:pt idx="50">
                  <c:v>400</c:v>
                </c:pt>
              </c:numCache>
            </c:numRef>
          </c:xVal>
          <c:yVal>
            <c:numRef>
              <c:f>'Graph Data'!$P$5:$P$55</c:f>
              <c:numCache>
                <c:formatCode>General</c:formatCode>
                <c:ptCount val="51"/>
                <c:pt idx="0">
                  <c:v>0</c:v>
                </c:pt>
                <c:pt idx="1">
                  <c:v>4.0000000000000001E-3</c:v>
                </c:pt>
                <c:pt idx="2">
                  <c:v>4.0000000000000001E-3</c:v>
                </c:pt>
                <c:pt idx="3">
                  <c:v>4.0000000000000001E-3</c:v>
                </c:pt>
                <c:pt idx="4">
                  <c:v>6.0000000000000001E-3</c:v>
                </c:pt>
                <c:pt idx="5">
                  <c:v>8.0000000000000002E-3</c:v>
                </c:pt>
                <c:pt idx="6">
                  <c:v>1.0999999999999999E-2</c:v>
                </c:pt>
                <c:pt idx="7">
                  <c:v>1.4999999999999999E-2</c:v>
                </c:pt>
                <c:pt idx="8">
                  <c:v>1.9E-2</c:v>
                </c:pt>
                <c:pt idx="9">
                  <c:v>2.5000000000000001E-2</c:v>
                </c:pt>
                <c:pt idx="10">
                  <c:v>2.9000000000000001E-2</c:v>
                </c:pt>
                <c:pt idx="11">
                  <c:v>3.7000000000000005E-2</c:v>
                </c:pt>
                <c:pt idx="12">
                  <c:v>5.4000000000000006E-2</c:v>
                </c:pt>
                <c:pt idx="13">
                  <c:v>6.0000000000000005E-2</c:v>
                </c:pt>
                <c:pt idx="14">
                  <c:v>7.3000000000000009E-2</c:v>
                </c:pt>
                <c:pt idx="15">
                  <c:v>8.1000000000000016E-2</c:v>
                </c:pt>
                <c:pt idx="16">
                  <c:v>9.4000000000000014E-2</c:v>
                </c:pt>
                <c:pt idx="17">
                  <c:v>0.11100000000000002</c:v>
                </c:pt>
                <c:pt idx="18">
                  <c:v>0.129</c:v>
                </c:pt>
                <c:pt idx="19">
                  <c:v>0.14699999999999999</c:v>
                </c:pt>
                <c:pt idx="20">
                  <c:v>0.16599999999999998</c:v>
                </c:pt>
                <c:pt idx="21">
                  <c:v>0.18899999999999997</c:v>
                </c:pt>
                <c:pt idx="22">
                  <c:v>0.20499999999999996</c:v>
                </c:pt>
                <c:pt idx="23">
                  <c:v>0.23399999999999996</c:v>
                </c:pt>
                <c:pt idx="24">
                  <c:v>0.25199999999999995</c:v>
                </c:pt>
                <c:pt idx="25">
                  <c:v>0.27699999999999997</c:v>
                </c:pt>
                <c:pt idx="26">
                  <c:v>0.30499999999999999</c:v>
                </c:pt>
                <c:pt idx="27">
                  <c:v>0.33400000000000002</c:v>
                </c:pt>
                <c:pt idx="28">
                  <c:v>0.36300000000000004</c:v>
                </c:pt>
                <c:pt idx="29">
                  <c:v>0.38800000000000007</c:v>
                </c:pt>
                <c:pt idx="30">
                  <c:v>0.41900000000000004</c:v>
                </c:pt>
                <c:pt idx="31">
                  <c:v>0.45500000000000002</c:v>
                </c:pt>
                <c:pt idx="32">
                  <c:v>0.48899999999999999</c:v>
                </c:pt>
                <c:pt idx="33">
                  <c:v>0.51300000000000001</c:v>
                </c:pt>
                <c:pt idx="34">
                  <c:v>0.54600000000000004</c:v>
                </c:pt>
                <c:pt idx="35">
                  <c:v>0.58200000000000007</c:v>
                </c:pt>
                <c:pt idx="36">
                  <c:v>0.61900000000000011</c:v>
                </c:pt>
                <c:pt idx="37">
                  <c:v>0.65800000000000014</c:v>
                </c:pt>
                <c:pt idx="38">
                  <c:v>0.70800000000000018</c:v>
                </c:pt>
                <c:pt idx="39">
                  <c:v>0.74300000000000022</c:v>
                </c:pt>
                <c:pt idx="40">
                  <c:v>0.79300000000000026</c:v>
                </c:pt>
                <c:pt idx="41">
                  <c:v>0.8330000000000003</c:v>
                </c:pt>
                <c:pt idx="42">
                  <c:v>0.86900000000000033</c:v>
                </c:pt>
                <c:pt idx="43">
                  <c:v>0.90600000000000036</c:v>
                </c:pt>
                <c:pt idx="44">
                  <c:v>0.94000000000000039</c:v>
                </c:pt>
                <c:pt idx="45">
                  <c:v>0.9510000000000004</c:v>
                </c:pt>
                <c:pt idx="46">
                  <c:v>0.97400000000000042</c:v>
                </c:pt>
                <c:pt idx="47">
                  <c:v>0.98700000000000043</c:v>
                </c:pt>
                <c:pt idx="48">
                  <c:v>0.99000000000000044</c:v>
                </c:pt>
                <c:pt idx="49">
                  <c:v>0.99600000000000044</c:v>
                </c:pt>
                <c:pt idx="50">
                  <c:v>0.99800000000000044</c:v>
                </c:pt>
              </c:numCache>
            </c:numRef>
          </c:yVal>
          <c:smooth val="1"/>
        </c:ser>
        <c:ser>
          <c:idx val="1"/>
          <c:order val="1"/>
          <c:tx>
            <c:v>Cross Hairs</c:v>
          </c:tx>
          <c:spPr>
            <a:ln w="19050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'Graph Data'!$R$5:$R$7</c:f>
              <c:numCache>
                <c:formatCode>0.00</c:formatCode>
                <c:ptCount val="3"/>
                <c:pt idx="0" formatCode="General">
                  <c:v>80</c:v>
                </c:pt>
                <c:pt idx="1">
                  <c:v>80</c:v>
                </c:pt>
                <c:pt idx="2" formatCode="General">
                  <c:v>-600</c:v>
                </c:pt>
              </c:numCache>
            </c:numRef>
          </c:xVal>
          <c:yVal>
            <c:numRef>
              <c:f>'Graph Data'!$S$5:$S$7</c:f>
              <c:numCache>
                <c:formatCode>General</c:formatCode>
                <c:ptCount val="3"/>
                <c:pt idx="0">
                  <c:v>0</c:v>
                </c:pt>
                <c:pt idx="1">
                  <c:v>0.58199999999999996</c:v>
                </c:pt>
                <c:pt idx="2">
                  <c:v>0.58199999999999996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830080"/>
        <c:axId val="422832000"/>
      </c:scatterChart>
      <c:valAx>
        <c:axId val="422830080"/>
        <c:scaling>
          <c:orientation val="minMax"/>
          <c:max val="500"/>
          <c:min val="-6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$000s</a:t>
                </a:r>
              </a:p>
            </c:rich>
          </c:tx>
          <c:layout>
            <c:manualLayout>
              <c:xMode val="edge"/>
              <c:yMode val="edge"/>
              <c:x val="0.44607410681596432"/>
              <c:y val="0.9129009508486503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22832000"/>
        <c:crosses val="autoZero"/>
        <c:crossBetween val="midCat"/>
        <c:majorUnit val="200"/>
      </c:valAx>
      <c:valAx>
        <c:axId val="422832000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422830080"/>
        <c:crossesAt val="-600"/>
        <c:crossBetween val="midCat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http://vectoreconomics.com/products/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371474</xdr:colOff>
      <xdr:row>0</xdr:row>
      <xdr:rowOff>1</xdr:rowOff>
    </xdr:from>
    <xdr:to>
      <xdr:col>13</xdr:col>
      <xdr:colOff>7326</xdr:colOff>
      <xdr:row>8</xdr:row>
      <xdr:rowOff>131886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119062</xdr:colOff>
      <xdr:row>12</xdr:row>
      <xdr:rowOff>126206</xdr:rowOff>
    </xdr:from>
    <xdr:to>
      <xdr:col>4</xdr:col>
      <xdr:colOff>428626</xdr:colOff>
      <xdr:row>23</xdr:row>
      <xdr:rowOff>130969</xdr:rowOff>
    </xdr:to>
    <xdr:graphicFrame macro="">
      <xdr:nvGraphicFramePr>
        <xdr:cNvPr id="3" name="Chart DistoGra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528089</xdr:colOff>
      <xdr:row>12</xdr:row>
      <xdr:rowOff>118695</xdr:rowOff>
    </xdr:from>
    <xdr:to>
      <xdr:col>8</xdr:col>
      <xdr:colOff>428810</xdr:colOff>
      <xdr:row>23</xdr:row>
      <xdr:rowOff>128221</xdr:rowOff>
    </xdr:to>
    <xdr:graphicFrame macro="">
      <xdr:nvGraphicFramePr>
        <xdr:cNvPr id="10" name="Chart DistoGra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8</xdr:col>
      <xdr:colOff>561975</xdr:colOff>
      <xdr:row>21</xdr:row>
      <xdr:rowOff>194451</xdr:rowOff>
    </xdr:from>
    <xdr:to>
      <xdr:col>11</xdr:col>
      <xdr:colOff>552012</xdr:colOff>
      <xdr:row>24</xdr:row>
      <xdr:rowOff>131114</xdr:rowOff>
    </xdr:to>
    <xdr:pic>
      <xdr:nvPicPr>
        <xdr:cNvPr id="8" name="Picture 7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62800" y="5347476"/>
          <a:ext cx="2685612" cy="5557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19</xdr:row>
          <xdr:rowOff>114300</xdr:rowOff>
        </xdr:from>
        <xdr:to>
          <xdr:col>10</xdr:col>
          <xdr:colOff>447675</xdr:colOff>
          <xdr:row>20</xdr:row>
          <xdr:rowOff>57150</xdr:rowOff>
        </xdr:to>
        <xdr:sp macro="" textlink="">
          <xdr:nvSpPr>
            <xdr:cNvPr id="3074" name="ScrollBar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8</xdr:row>
          <xdr:rowOff>114300</xdr:rowOff>
        </xdr:from>
        <xdr:to>
          <xdr:col>9</xdr:col>
          <xdr:colOff>1152525</xdr:colOff>
          <xdr:row>8</xdr:row>
          <xdr:rowOff>257175</xdr:rowOff>
        </xdr:to>
        <xdr:sp macro="" textlink="">
          <xdr:nvSpPr>
            <xdr:cNvPr id="3075" name="ScrollBar2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6:T1047"/>
  <sheetViews>
    <sheetView tabSelected="1" zoomScaleNormal="100" workbookViewId="0">
      <selection activeCell="P25" sqref="P25"/>
    </sheetView>
  </sheetViews>
  <sheetFormatPr defaultRowHeight="15" x14ac:dyDescent="0.25"/>
  <cols>
    <col min="1" max="1" width="9.140625" style="1"/>
    <col min="2" max="2" width="15.28515625" style="1" customWidth="1"/>
    <col min="3" max="3" width="14.7109375" style="1" customWidth="1"/>
    <col min="4" max="4" width="8.85546875" style="1" customWidth="1"/>
    <col min="5" max="5" width="11" style="1" customWidth="1"/>
    <col min="6" max="6" width="9.42578125" style="1" customWidth="1"/>
    <col min="7" max="7" width="12.28515625" style="1" customWidth="1"/>
    <col min="8" max="8" width="18.28515625" style="1" customWidth="1"/>
    <col min="9" max="9" width="10.5703125" style="1" customWidth="1"/>
    <col min="10" max="10" width="18.42578125" style="1" customWidth="1"/>
    <col min="11" max="11" width="11.42578125" style="1" customWidth="1"/>
    <col min="12" max="12" width="9.140625" style="1" customWidth="1"/>
    <col min="13" max="16384" width="9.140625" style="1"/>
  </cols>
  <sheetData>
    <row r="6" spans="2:19" ht="23.25" x14ac:dyDescent="0.35">
      <c r="I6" s="3"/>
    </row>
    <row r="8" spans="2:19" ht="23.25" x14ac:dyDescent="0.35">
      <c r="J8" s="3" t="s">
        <v>3</v>
      </c>
      <c r="Q8" s="2"/>
    </row>
    <row r="9" spans="2:19" ht="23.25" x14ac:dyDescent="0.35">
      <c r="K9" s="3" t="str">
        <f>IF(A37=0,"Average", "Scenario "&amp;A37)</f>
        <v>Average</v>
      </c>
      <c r="Q9" s="2"/>
      <c r="S9" s="9"/>
    </row>
    <row r="10" spans="2:19" ht="23.25" x14ac:dyDescent="0.35">
      <c r="B10" s="3" t="s">
        <v>18</v>
      </c>
      <c r="C10" s="8">
        <v>900</v>
      </c>
      <c r="Q10" s="2"/>
      <c r="S10" s="9"/>
    </row>
    <row r="11" spans="2:19" ht="23.25" x14ac:dyDescent="0.35">
      <c r="B11" s="3" t="s">
        <v>16</v>
      </c>
      <c r="D11" s="4">
        <f>J37</f>
        <v>18</v>
      </c>
      <c r="E11" s="3" t="s">
        <v>17</v>
      </c>
      <c r="G11" s="8">
        <f>F47+H47+J47</f>
        <v>800</v>
      </c>
      <c r="H11" s="3" t="s">
        <v>19</v>
      </c>
      <c r="I11" s="8">
        <f>30*K16*N37</f>
        <v>0</v>
      </c>
      <c r="J11" s="3" t="s">
        <v>21</v>
      </c>
      <c r="K11" s="8">
        <f>C10-G11-I11</f>
        <v>100</v>
      </c>
      <c r="Q11" s="2"/>
      <c r="S11" s="9"/>
    </row>
    <row r="12" spans="2:19" ht="23.25" x14ac:dyDescent="0.35">
      <c r="B12" s="3" t="s">
        <v>15</v>
      </c>
      <c r="D12" s="4">
        <f>K37</f>
        <v>19.870361512098402</v>
      </c>
      <c r="E12" s="3" t="s">
        <v>14</v>
      </c>
      <c r="G12" s="8">
        <f>AVERAGE(Dst('Project Model - DIST'!G11))</f>
        <v>800.00000022121037</v>
      </c>
      <c r="H12" s="3" t="s">
        <v>20</v>
      </c>
      <c r="I12" s="8">
        <f>AVERAGE(Dst('Project Model - DIST'!I11))</f>
        <v>101.7107155872617</v>
      </c>
      <c r="J12" s="3" t="s">
        <v>22</v>
      </c>
      <c r="K12" s="8">
        <f>AVERAGE(Dst('Project Model - DIST'!K11))</f>
        <v>-1.7107158074914919</v>
      </c>
      <c r="Q12" s="2"/>
      <c r="S12" s="9"/>
    </row>
    <row r="13" spans="2:19" x14ac:dyDescent="0.25">
      <c r="Q13" s="2"/>
      <c r="S13" s="9"/>
    </row>
    <row r="14" spans="2:19" ht="23.25" x14ac:dyDescent="0.35">
      <c r="J14" s="3" t="s">
        <v>23</v>
      </c>
      <c r="L14" s="2"/>
      <c r="Q14" s="2"/>
      <c r="S14" s="9"/>
    </row>
    <row r="15" spans="2:19" ht="15.75" x14ac:dyDescent="0.25">
      <c r="J15" s="13" t="s">
        <v>24</v>
      </c>
      <c r="K15" s="11">
        <v>18</v>
      </c>
      <c r="Q15" s="2"/>
      <c r="S15" s="9"/>
    </row>
    <row r="16" spans="2:19" ht="15.75" x14ac:dyDescent="0.25">
      <c r="J16" s="13" t="s">
        <v>25</v>
      </c>
      <c r="K16" s="12">
        <v>1</v>
      </c>
      <c r="Q16" s="2"/>
      <c r="S16" s="9"/>
    </row>
    <row r="17" spans="3:19" x14ac:dyDescent="0.25">
      <c r="Q17" s="2"/>
      <c r="S17" s="9"/>
    </row>
    <row r="18" spans="3:19" ht="23.25" x14ac:dyDescent="0.35">
      <c r="J18" s="3" t="s">
        <v>36</v>
      </c>
      <c r="K18" s="8">
        <f>'Graph Data'!R5</f>
        <v>80</v>
      </c>
      <c r="Q18" s="2"/>
      <c r="S18" s="9"/>
    </row>
    <row r="19" spans="3:19" ht="38.25" customHeight="1" x14ac:dyDescent="0.35">
      <c r="J19" s="24" t="s">
        <v>37</v>
      </c>
      <c r="K19" s="23">
        <f>'Graph Data'!S6</f>
        <v>0.58199999999999996</v>
      </c>
    </row>
    <row r="22" spans="3:19" ht="18.75" x14ac:dyDescent="0.3">
      <c r="J22" s="25" t="s">
        <v>38</v>
      </c>
    </row>
    <row r="30" spans="3:19" ht="167.25" customHeight="1" x14ac:dyDescent="0.25">
      <c r="C30" s="1" t="s">
        <v>35</v>
      </c>
    </row>
    <row r="34" spans="1:14" x14ac:dyDescent="0.25">
      <c r="E34" s="1" t="s">
        <v>26</v>
      </c>
      <c r="M34" s="1" t="s">
        <v>27</v>
      </c>
    </row>
    <row r="35" spans="1:14" x14ac:dyDescent="0.25">
      <c r="J35" s="1">
        <v>68</v>
      </c>
    </row>
    <row r="36" spans="1:14" x14ac:dyDescent="0.25">
      <c r="C36" s="1" t="s">
        <v>0</v>
      </c>
      <c r="G36" s="1" t="s">
        <v>1</v>
      </c>
      <c r="J36" s="1" t="s">
        <v>2</v>
      </c>
      <c r="N36" s="2">
        <f>D11-K15</f>
        <v>0</v>
      </c>
    </row>
    <row r="37" spans="1:14" x14ac:dyDescent="0.25">
      <c r="A37" s="1">
        <v>0</v>
      </c>
      <c r="B37" s="1" t="s">
        <v>7</v>
      </c>
      <c r="C37" s="2">
        <f>Dst( 'Project Model'!$D$42, 'Project Model'!$A$37 )</f>
        <v>12</v>
      </c>
      <c r="E37" s="1" t="str">
        <f>B39</f>
        <v>Remodel 2</v>
      </c>
      <c r="G37" s="2">
        <f>H39</f>
        <v>12</v>
      </c>
      <c r="H37" s="2">
        <f>C39</f>
        <v>6</v>
      </c>
      <c r="I37" s="2">
        <f>MAX(H37:H38)</f>
        <v>6</v>
      </c>
      <c r="J37" s="2">
        <f>G37+I37</f>
        <v>18</v>
      </c>
      <c r="K37" s="2">
        <f>AVERAGE(Dst('Project Model - DIST'!J37))</f>
        <v>19.870361512098402</v>
      </c>
      <c r="N37" s="2">
        <f>IF(N36&gt;0,N36,0)</f>
        <v>0</v>
      </c>
    </row>
    <row r="38" spans="1:14" x14ac:dyDescent="0.25">
      <c r="B38" s="1" t="s">
        <v>8</v>
      </c>
      <c r="C38" s="2">
        <f>Dst( 'Project Model'!$D43, 'Project Model'!$A$37 )</f>
        <v>6</v>
      </c>
      <c r="E38" s="1" t="str">
        <f>B38</f>
        <v>Remodel 1</v>
      </c>
      <c r="G38" s="2">
        <f>H39</f>
        <v>12</v>
      </c>
      <c r="H38" s="2">
        <f>C38</f>
        <v>6</v>
      </c>
    </row>
    <row r="39" spans="1:14" x14ac:dyDescent="0.25">
      <c r="B39" s="1" t="s">
        <v>9</v>
      </c>
      <c r="C39" s="2">
        <f>Dst( 'Project Model'!$D44, 'Project Model'!$A$37 )</f>
        <v>6</v>
      </c>
      <c r="E39" s="1" t="str">
        <f>B37</f>
        <v>Build House</v>
      </c>
      <c r="G39" s="1">
        <v>0</v>
      </c>
      <c r="H39" s="2">
        <f>C37</f>
        <v>12</v>
      </c>
    </row>
    <row r="41" spans="1:14" x14ac:dyDescent="0.25">
      <c r="M41" s="2"/>
    </row>
    <row r="42" spans="1:14" x14ac:dyDescent="0.25">
      <c r="C42" s="1" t="str">
        <f>DstName(D42)</f>
        <v>MN</v>
      </c>
      <c r="D42" t="s">
        <v>10</v>
      </c>
      <c r="M42" s="2"/>
    </row>
    <row r="43" spans="1:14" x14ac:dyDescent="0.25">
      <c r="C43" s="1" t="str">
        <f>DstName(D43)</f>
        <v>MR1</v>
      </c>
      <c r="D43" t="s">
        <v>11</v>
      </c>
      <c r="M43" s="2"/>
    </row>
    <row r="44" spans="1:14" x14ac:dyDescent="0.25">
      <c r="C44" s="1" t="str">
        <f>DstName(D44)</f>
        <v>MR2</v>
      </c>
      <c r="D44" t="s">
        <v>12</v>
      </c>
      <c r="M44" s="2"/>
    </row>
    <row r="45" spans="1:14" x14ac:dyDescent="0.25">
      <c r="M45" s="2"/>
    </row>
    <row r="46" spans="1:14" x14ac:dyDescent="0.25">
      <c r="H46" s="1" t="s">
        <v>13</v>
      </c>
      <c r="M46" s="2"/>
    </row>
    <row r="47" spans="1:14" x14ac:dyDescent="0.25">
      <c r="F47" s="1">
        <f>Dst('DIST Library'!B5,$A$37)</f>
        <v>400</v>
      </c>
      <c r="H47" s="1">
        <f>Dst('DIST Library'!B7,$A$37)</f>
        <v>200</v>
      </c>
      <c r="J47" s="1">
        <f>Dst('DIST Library'!B9,$A$37)</f>
        <v>200</v>
      </c>
    </row>
    <row r="52" spans="4:20" x14ac:dyDescent="0.25">
      <c r="Q52" s="10"/>
    </row>
    <row r="53" spans="4:20" x14ac:dyDescent="0.25">
      <c r="Q53" s="10"/>
    </row>
    <row r="54" spans="4:20" x14ac:dyDescent="0.25">
      <c r="Q54" s="10"/>
    </row>
    <row r="55" spans="4:20" x14ac:dyDescent="0.25">
      <c r="Q55" s="10"/>
    </row>
    <row r="56" spans="4:20" x14ac:dyDescent="0.25">
      <c r="Q56" s="10"/>
    </row>
    <row r="57" spans="4:20" x14ac:dyDescent="0.25">
      <c r="Q57" s="10"/>
    </row>
    <row r="58" spans="4:20" x14ac:dyDescent="0.25">
      <c r="Q58" s="10"/>
    </row>
    <row r="59" spans="4:20" x14ac:dyDescent="0.25">
      <c r="Q59" s="10"/>
    </row>
    <row r="60" spans="4:20" x14ac:dyDescent="0.25">
      <c r="Q60" s="10"/>
    </row>
    <row r="61" spans="4:20" x14ac:dyDescent="0.25">
      <c r="D61" s="2"/>
      <c r="Q61" s="10"/>
    </row>
    <row r="62" spans="4:20" x14ac:dyDescent="0.25">
      <c r="D62" s="2"/>
    </row>
    <row r="63" spans="4:20" x14ac:dyDescent="0.25">
      <c r="D63" s="2"/>
      <c r="R63"/>
      <c r="S63"/>
      <c r="T63"/>
    </row>
    <row r="64" spans="4:20" x14ac:dyDescent="0.25">
      <c r="D64" s="2"/>
      <c r="R64"/>
      <c r="S64"/>
      <c r="T64"/>
    </row>
    <row r="65" spans="4:20" x14ac:dyDescent="0.25">
      <c r="D65" s="2"/>
      <c r="R65"/>
      <c r="S65"/>
      <c r="T65"/>
    </row>
    <row r="66" spans="4:20" x14ac:dyDescent="0.25">
      <c r="D66" s="2"/>
      <c r="R66"/>
      <c r="S66"/>
      <c r="T66"/>
    </row>
    <row r="67" spans="4:20" x14ac:dyDescent="0.25">
      <c r="D67" s="2"/>
      <c r="R67"/>
      <c r="S67"/>
      <c r="T67"/>
    </row>
    <row r="68" spans="4:20" x14ac:dyDescent="0.25">
      <c r="D68" s="2"/>
      <c r="R68"/>
      <c r="S68"/>
      <c r="T68"/>
    </row>
    <row r="69" spans="4:20" x14ac:dyDescent="0.25">
      <c r="D69" s="2"/>
      <c r="R69"/>
      <c r="S69"/>
      <c r="T69"/>
    </row>
    <row r="70" spans="4:20" x14ac:dyDescent="0.25">
      <c r="D70" s="2"/>
      <c r="R70"/>
      <c r="S70"/>
      <c r="T70"/>
    </row>
    <row r="71" spans="4:20" x14ac:dyDescent="0.25">
      <c r="D71" s="2"/>
      <c r="R71"/>
      <c r="S71"/>
      <c r="T71"/>
    </row>
    <row r="72" spans="4:20" x14ac:dyDescent="0.25">
      <c r="D72" s="2"/>
      <c r="R72"/>
      <c r="S72"/>
      <c r="T72"/>
    </row>
    <row r="73" spans="4:20" x14ac:dyDescent="0.25">
      <c r="D73" s="2"/>
    </row>
    <row r="74" spans="4:20" x14ac:dyDescent="0.25">
      <c r="D74" s="2"/>
    </row>
    <row r="75" spans="4:20" x14ac:dyDescent="0.25">
      <c r="D75" s="2"/>
    </row>
    <row r="76" spans="4:20" x14ac:dyDescent="0.25">
      <c r="D76" s="2"/>
    </row>
    <row r="77" spans="4:20" x14ac:dyDescent="0.25">
      <c r="D77" s="2"/>
    </row>
    <row r="78" spans="4:20" x14ac:dyDescent="0.25">
      <c r="D78" s="2"/>
    </row>
    <row r="79" spans="4:20" x14ac:dyDescent="0.25">
      <c r="D79" s="2"/>
    </row>
    <row r="80" spans="4:20" x14ac:dyDescent="0.25">
      <c r="D80" s="2"/>
    </row>
    <row r="81" spans="4:4" x14ac:dyDescent="0.25">
      <c r="D81" s="2"/>
    </row>
    <row r="82" spans="4:4" x14ac:dyDescent="0.25">
      <c r="D82" s="2"/>
    </row>
    <row r="83" spans="4:4" x14ac:dyDescent="0.25">
      <c r="D83" s="2"/>
    </row>
    <row r="84" spans="4:4" x14ac:dyDescent="0.25">
      <c r="D84" s="2"/>
    </row>
    <row r="85" spans="4:4" x14ac:dyDescent="0.25">
      <c r="D85" s="2"/>
    </row>
    <row r="86" spans="4:4" x14ac:dyDescent="0.25">
      <c r="D86" s="2"/>
    </row>
    <row r="87" spans="4:4" x14ac:dyDescent="0.25">
      <c r="D87" s="2"/>
    </row>
    <row r="88" spans="4:4" x14ac:dyDescent="0.25">
      <c r="D88" s="2"/>
    </row>
    <row r="89" spans="4:4" x14ac:dyDescent="0.25">
      <c r="D89" s="2"/>
    </row>
    <row r="90" spans="4:4" x14ac:dyDescent="0.25">
      <c r="D90" s="2"/>
    </row>
    <row r="91" spans="4:4" x14ac:dyDescent="0.25">
      <c r="D91" s="2"/>
    </row>
    <row r="92" spans="4:4" x14ac:dyDescent="0.25">
      <c r="D92" s="2"/>
    </row>
    <row r="93" spans="4:4" x14ac:dyDescent="0.25">
      <c r="D93" s="2"/>
    </row>
    <row r="94" spans="4:4" x14ac:dyDescent="0.25">
      <c r="D94" s="2"/>
    </row>
    <row r="95" spans="4:4" x14ac:dyDescent="0.25">
      <c r="D95" s="2"/>
    </row>
    <row r="96" spans="4:4" x14ac:dyDescent="0.25">
      <c r="D96" s="2"/>
    </row>
    <row r="97" spans="4:4" x14ac:dyDescent="0.25">
      <c r="D97" s="2"/>
    </row>
    <row r="98" spans="4:4" x14ac:dyDescent="0.25">
      <c r="D98" s="2"/>
    </row>
    <row r="99" spans="4:4" x14ac:dyDescent="0.25">
      <c r="D99" s="2"/>
    </row>
    <row r="100" spans="4:4" x14ac:dyDescent="0.25">
      <c r="D100" s="2"/>
    </row>
    <row r="101" spans="4:4" x14ac:dyDescent="0.25">
      <c r="D101" s="2"/>
    </row>
    <row r="102" spans="4:4" x14ac:dyDescent="0.25">
      <c r="D102" s="2"/>
    </row>
    <row r="103" spans="4:4" x14ac:dyDescent="0.25">
      <c r="D103" s="2"/>
    </row>
    <row r="104" spans="4:4" x14ac:dyDescent="0.25">
      <c r="D104" s="2"/>
    </row>
    <row r="105" spans="4:4" x14ac:dyDescent="0.25">
      <c r="D105" s="2"/>
    </row>
    <row r="106" spans="4:4" x14ac:dyDescent="0.25">
      <c r="D106" s="2"/>
    </row>
    <row r="107" spans="4:4" x14ac:dyDescent="0.25">
      <c r="D107" s="2"/>
    </row>
    <row r="108" spans="4:4" x14ac:dyDescent="0.25">
      <c r="D108" s="2"/>
    </row>
    <row r="109" spans="4:4" x14ac:dyDescent="0.25">
      <c r="D109" s="2"/>
    </row>
    <row r="110" spans="4:4" x14ac:dyDescent="0.25">
      <c r="D110" s="2"/>
    </row>
    <row r="111" spans="4:4" x14ac:dyDescent="0.25">
      <c r="D111" s="2"/>
    </row>
    <row r="112" spans="4:4" x14ac:dyDescent="0.25">
      <c r="D112" s="2"/>
    </row>
    <row r="113" spans="4:4" x14ac:dyDescent="0.25">
      <c r="D113" s="2"/>
    </row>
    <row r="114" spans="4:4" x14ac:dyDescent="0.25">
      <c r="D114" s="2"/>
    </row>
    <row r="115" spans="4:4" x14ac:dyDescent="0.25">
      <c r="D115" s="2"/>
    </row>
    <row r="116" spans="4:4" x14ac:dyDescent="0.25">
      <c r="D116" s="2"/>
    </row>
    <row r="117" spans="4:4" x14ac:dyDescent="0.25">
      <c r="D117" s="2"/>
    </row>
    <row r="118" spans="4:4" x14ac:dyDescent="0.25">
      <c r="D118" s="2"/>
    </row>
    <row r="119" spans="4:4" x14ac:dyDescent="0.25">
      <c r="D119" s="2"/>
    </row>
    <row r="120" spans="4:4" x14ac:dyDescent="0.25">
      <c r="D120" s="2"/>
    </row>
    <row r="121" spans="4:4" x14ac:dyDescent="0.25">
      <c r="D121" s="2"/>
    </row>
    <row r="122" spans="4:4" x14ac:dyDescent="0.25">
      <c r="D122" s="2"/>
    </row>
    <row r="123" spans="4:4" x14ac:dyDescent="0.25">
      <c r="D123" s="2"/>
    </row>
    <row r="124" spans="4:4" x14ac:dyDescent="0.25">
      <c r="D124" s="2"/>
    </row>
    <row r="125" spans="4:4" x14ac:dyDescent="0.25">
      <c r="D125" s="2"/>
    </row>
    <row r="126" spans="4:4" x14ac:dyDescent="0.25">
      <c r="D126" s="2"/>
    </row>
    <row r="127" spans="4:4" x14ac:dyDescent="0.25">
      <c r="D127" s="2"/>
    </row>
    <row r="128" spans="4:4" x14ac:dyDescent="0.25">
      <c r="D128" s="2"/>
    </row>
    <row r="129" spans="4:4" x14ac:dyDescent="0.25">
      <c r="D129" s="2"/>
    </row>
    <row r="130" spans="4:4" x14ac:dyDescent="0.25">
      <c r="D130" s="2"/>
    </row>
    <row r="131" spans="4:4" x14ac:dyDescent="0.25">
      <c r="D131" s="2"/>
    </row>
    <row r="132" spans="4:4" x14ac:dyDescent="0.25">
      <c r="D132" s="2"/>
    </row>
    <row r="133" spans="4:4" x14ac:dyDescent="0.25">
      <c r="D133" s="2"/>
    </row>
    <row r="134" spans="4:4" x14ac:dyDescent="0.25">
      <c r="D134" s="2"/>
    </row>
    <row r="135" spans="4:4" x14ac:dyDescent="0.25">
      <c r="D135" s="2"/>
    </row>
    <row r="136" spans="4:4" x14ac:dyDescent="0.25">
      <c r="D136" s="2"/>
    </row>
    <row r="137" spans="4:4" x14ac:dyDescent="0.25">
      <c r="D137" s="2"/>
    </row>
    <row r="138" spans="4:4" x14ac:dyDescent="0.25">
      <c r="D138" s="2"/>
    </row>
    <row r="139" spans="4:4" x14ac:dyDescent="0.25">
      <c r="D139" s="2"/>
    </row>
    <row r="140" spans="4:4" x14ac:dyDescent="0.25">
      <c r="D140" s="2"/>
    </row>
    <row r="141" spans="4:4" x14ac:dyDescent="0.25">
      <c r="D141" s="2"/>
    </row>
    <row r="142" spans="4:4" x14ac:dyDescent="0.25">
      <c r="D142" s="2"/>
    </row>
    <row r="143" spans="4:4" x14ac:dyDescent="0.25">
      <c r="D143" s="2"/>
    </row>
    <row r="144" spans="4:4" x14ac:dyDescent="0.25">
      <c r="D144" s="2"/>
    </row>
    <row r="145" spans="4:4" x14ac:dyDescent="0.25">
      <c r="D145" s="2"/>
    </row>
    <row r="146" spans="4:4" x14ac:dyDescent="0.25">
      <c r="D146" s="2"/>
    </row>
    <row r="147" spans="4:4" x14ac:dyDescent="0.25">
      <c r="D147" s="2"/>
    </row>
    <row r="148" spans="4:4" x14ac:dyDescent="0.25">
      <c r="D148" s="2"/>
    </row>
    <row r="149" spans="4:4" x14ac:dyDescent="0.25">
      <c r="D149" s="2"/>
    </row>
    <row r="150" spans="4:4" x14ac:dyDescent="0.25">
      <c r="D150" s="2"/>
    </row>
    <row r="151" spans="4:4" x14ac:dyDescent="0.25">
      <c r="D151" s="2"/>
    </row>
    <row r="152" spans="4:4" x14ac:dyDescent="0.25">
      <c r="D152" s="2"/>
    </row>
    <row r="153" spans="4:4" x14ac:dyDescent="0.25">
      <c r="D153" s="2"/>
    </row>
    <row r="154" spans="4:4" x14ac:dyDescent="0.25">
      <c r="D154" s="2"/>
    </row>
    <row r="155" spans="4:4" x14ac:dyDescent="0.25">
      <c r="D155" s="2"/>
    </row>
    <row r="156" spans="4:4" x14ac:dyDescent="0.25">
      <c r="D156" s="2"/>
    </row>
    <row r="157" spans="4:4" x14ac:dyDescent="0.25">
      <c r="D157" s="2"/>
    </row>
    <row r="158" spans="4:4" x14ac:dyDescent="0.25">
      <c r="D158" s="2"/>
    </row>
    <row r="159" spans="4:4" x14ac:dyDescent="0.25">
      <c r="D159" s="2"/>
    </row>
    <row r="160" spans="4:4" x14ac:dyDescent="0.25">
      <c r="D160" s="2"/>
    </row>
    <row r="161" spans="4:4" x14ac:dyDescent="0.25">
      <c r="D161" s="2"/>
    </row>
    <row r="162" spans="4:4" x14ac:dyDescent="0.25">
      <c r="D162" s="2"/>
    </row>
    <row r="163" spans="4:4" x14ac:dyDescent="0.25">
      <c r="D163" s="2"/>
    </row>
    <row r="164" spans="4:4" x14ac:dyDescent="0.25">
      <c r="D164" s="2"/>
    </row>
    <row r="165" spans="4:4" x14ac:dyDescent="0.25">
      <c r="D165" s="2"/>
    </row>
    <row r="166" spans="4:4" x14ac:dyDescent="0.25">
      <c r="D166" s="2"/>
    </row>
    <row r="167" spans="4:4" x14ac:dyDescent="0.25">
      <c r="D167" s="2"/>
    </row>
    <row r="168" spans="4:4" x14ac:dyDescent="0.25">
      <c r="D168" s="2"/>
    </row>
    <row r="169" spans="4:4" x14ac:dyDescent="0.25">
      <c r="D169" s="2"/>
    </row>
    <row r="170" spans="4:4" x14ac:dyDescent="0.25">
      <c r="D170" s="2"/>
    </row>
    <row r="171" spans="4:4" x14ac:dyDescent="0.25">
      <c r="D171" s="2"/>
    </row>
    <row r="172" spans="4:4" x14ac:dyDescent="0.25">
      <c r="D172" s="2"/>
    </row>
    <row r="173" spans="4:4" x14ac:dyDescent="0.25">
      <c r="D173" s="2"/>
    </row>
    <row r="174" spans="4:4" x14ac:dyDescent="0.25">
      <c r="D174" s="2"/>
    </row>
    <row r="175" spans="4:4" x14ac:dyDescent="0.25">
      <c r="D175" s="2"/>
    </row>
    <row r="176" spans="4:4" x14ac:dyDescent="0.25">
      <c r="D176" s="2"/>
    </row>
    <row r="177" spans="4:4" x14ac:dyDescent="0.25">
      <c r="D177" s="2"/>
    </row>
    <row r="178" spans="4:4" x14ac:dyDescent="0.25">
      <c r="D178" s="2"/>
    </row>
    <row r="179" spans="4:4" x14ac:dyDescent="0.25">
      <c r="D179" s="2"/>
    </row>
    <row r="180" spans="4:4" x14ac:dyDescent="0.25">
      <c r="D180" s="2"/>
    </row>
    <row r="181" spans="4:4" x14ac:dyDescent="0.25">
      <c r="D181" s="2"/>
    </row>
    <row r="182" spans="4:4" x14ac:dyDescent="0.25">
      <c r="D182" s="2"/>
    </row>
    <row r="183" spans="4:4" x14ac:dyDescent="0.25">
      <c r="D183" s="2"/>
    </row>
    <row r="184" spans="4:4" x14ac:dyDescent="0.25">
      <c r="D184" s="2"/>
    </row>
    <row r="185" spans="4:4" x14ac:dyDescent="0.25">
      <c r="D185" s="2"/>
    </row>
    <row r="186" spans="4:4" x14ac:dyDescent="0.25">
      <c r="D186" s="2"/>
    </row>
    <row r="187" spans="4:4" x14ac:dyDescent="0.25">
      <c r="D187" s="2"/>
    </row>
    <row r="188" spans="4:4" x14ac:dyDescent="0.25">
      <c r="D188" s="2"/>
    </row>
    <row r="189" spans="4:4" x14ac:dyDescent="0.25">
      <c r="D189" s="2"/>
    </row>
    <row r="190" spans="4:4" x14ac:dyDescent="0.25">
      <c r="D190" s="2"/>
    </row>
    <row r="191" spans="4:4" x14ac:dyDescent="0.25">
      <c r="D191" s="2"/>
    </row>
    <row r="192" spans="4:4" x14ac:dyDescent="0.25">
      <c r="D192" s="2"/>
    </row>
    <row r="193" spans="4:4" x14ac:dyDescent="0.25">
      <c r="D193" s="2"/>
    </row>
    <row r="194" spans="4:4" x14ac:dyDescent="0.25">
      <c r="D194" s="2"/>
    </row>
    <row r="195" spans="4:4" x14ac:dyDescent="0.25">
      <c r="D195" s="2"/>
    </row>
    <row r="196" spans="4:4" x14ac:dyDescent="0.25">
      <c r="D196" s="2"/>
    </row>
    <row r="197" spans="4:4" x14ac:dyDescent="0.25">
      <c r="D197" s="2"/>
    </row>
    <row r="198" spans="4:4" x14ac:dyDescent="0.25">
      <c r="D198" s="2"/>
    </row>
    <row r="199" spans="4:4" x14ac:dyDescent="0.25">
      <c r="D199" s="2"/>
    </row>
    <row r="200" spans="4:4" x14ac:dyDescent="0.25">
      <c r="D200" s="2"/>
    </row>
    <row r="201" spans="4:4" x14ac:dyDescent="0.25">
      <c r="D201" s="2"/>
    </row>
    <row r="202" spans="4:4" x14ac:dyDescent="0.25">
      <c r="D202" s="2"/>
    </row>
    <row r="203" spans="4:4" x14ac:dyDescent="0.25">
      <c r="D203" s="2"/>
    </row>
    <row r="204" spans="4:4" x14ac:dyDescent="0.25">
      <c r="D204" s="2"/>
    </row>
    <row r="205" spans="4:4" x14ac:dyDescent="0.25">
      <c r="D205" s="2"/>
    </row>
    <row r="206" spans="4:4" x14ac:dyDescent="0.25">
      <c r="D206" s="2"/>
    </row>
    <row r="207" spans="4:4" x14ac:dyDescent="0.25">
      <c r="D207" s="2"/>
    </row>
    <row r="208" spans="4:4" x14ac:dyDescent="0.25">
      <c r="D208" s="2"/>
    </row>
    <row r="209" spans="4:4" x14ac:dyDescent="0.25">
      <c r="D209" s="2"/>
    </row>
    <row r="210" spans="4:4" x14ac:dyDescent="0.25">
      <c r="D210" s="2"/>
    </row>
    <row r="211" spans="4:4" x14ac:dyDescent="0.25">
      <c r="D211" s="2"/>
    </row>
    <row r="212" spans="4:4" x14ac:dyDescent="0.25">
      <c r="D212" s="2"/>
    </row>
    <row r="213" spans="4:4" x14ac:dyDescent="0.25">
      <c r="D213" s="2"/>
    </row>
    <row r="214" spans="4:4" x14ac:dyDescent="0.25">
      <c r="D214" s="2"/>
    </row>
    <row r="215" spans="4:4" x14ac:dyDescent="0.25">
      <c r="D215" s="2"/>
    </row>
    <row r="216" spans="4:4" x14ac:dyDescent="0.25">
      <c r="D216" s="2"/>
    </row>
    <row r="217" spans="4:4" x14ac:dyDescent="0.25">
      <c r="D217" s="2"/>
    </row>
    <row r="218" spans="4:4" x14ac:dyDescent="0.25">
      <c r="D218" s="2"/>
    </row>
    <row r="219" spans="4:4" x14ac:dyDescent="0.25">
      <c r="D219" s="2"/>
    </row>
    <row r="220" spans="4:4" x14ac:dyDescent="0.25">
      <c r="D220" s="2"/>
    </row>
    <row r="221" spans="4:4" x14ac:dyDescent="0.25">
      <c r="D221" s="2"/>
    </row>
    <row r="222" spans="4:4" x14ac:dyDescent="0.25">
      <c r="D222" s="2"/>
    </row>
    <row r="223" spans="4:4" x14ac:dyDescent="0.25">
      <c r="D223" s="2"/>
    </row>
    <row r="224" spans="4:4" x14ac:dyDescent="0.25">
      <c r="D224" s="2"/>
    </row>
    <row r="225" spans="4:4" x14ac:dyDescent="0.25">
      <c r="D225" s="2"/>
    </row>
    <row r="226" spans="4:4" x14ac:dyDescent="0.25">
      <c r="D226" s="2"/>
    </row>
    <row r="227" spans="4:4" x14ac:dyDescent="0.25">
      <c r="D227" s="2"/>
    </row>
    <row r="228" spans="4:4" x14ac:dyDescent="0.25">
      <c r="D228" s="2"/>
    </row>
    <row r="229" spans="4:4" x14ac:dyDescent="0.25">
      <c r="D229" s="2"/>
    </row>
    <row r="230" spans="4:4" x14ac:dyDescent="0.25">
      <c r="D230" s="2"/>
    </row>
    <row r="231" spans="4:4" x14ac:dyDescent="0.25">
      <c r="D231" s="2"/>
    </row>
    <row r="232" spans="4:4" x14ac:dyDescent="0.25">
      <c r="D232" s="2"/>
    </row>
    <row r="233" spans="4:4" x14ac:dyDescent="0.25">
      <c r="D233" s="2"/>
    </row>
    <row r="234" spans="4:4" x14ac:dyDescent="0.25">
      <c r="D234" s="2"/>
    </row>
    <row r="235" spans="4:4" x14ac:dyDescent="0.25">
      <c r="D235" s="2"/>
    </row>
    <row r="236" spans="4:4" x14ac:dyDescent="0.25">
      <c r="D236" s="2"/>
    </row>
    <row r="237" spans="4:4" x14ac:dyDescent="0.25">
      <c r="D237" s="2"/>
    </row>
    <row r="238" spans="4:4" x14ac:dyDescent="0.25">
      <c r="D238" s="2"/>
    </row>
    <row r="239" spans="4:4" x14ac:dyDescent="0.25">
      <c r="D239" s="2"/>
    </row>
    <row r="240" spans="4:4" x14ac:dyDescent="0.25">
      <c r="D240" s="2"/>
    </row>
    <row r="241" spans="4:4" x14ac:dyDescent="0.25">
      <c r="D241" s="2"/>
    </row>
    <row r="242" spans="4:4" x14ac:dyDescent="0.25">
      <c r="D242" s="2"/>
    </row>
    <row r="243" spans="4:4" x14ac:dyDescent="0.25">
      <c r="D243" s="2"/>
    </row>
    <row r="244" spans="4:4" x14ac:dyDescent="0.25">
      <c r="D244" s="2"/>
    </row>
    <row r="245" spans="4:4" x14ac:dyDescent="0.25">
      <c r="D245" s="2"/>
    </row>
    <row r="246" spans="4:4" x14ac:dyDescent="0.25">
      <c r="D246" s="2"/>
    </row>
    <row r="247" spans="4:4" x14ac:dyDescent="0.25">
      <c r="D247" s="2"/>
    </row>
    <row r="248" spans="4:4" x14ac:dyDescent="0.25">
      <c r="D248" s="2"/>
    </row>
    <row r="249" spans="4:4" x14ac:dyDescent="0.25">
      <c r="D249" s="2"/>
    </row>
    <row r="250" spans="4:4" x14ac:dyDescent="0.25">
      <c r="D250" s="2"/>
    </row>
    <row r="251" spans="4:4" x14ac:dyDescent="0.25">
      <c r="D251" s="2"/>
    </row>
    <row r="252" spans="4:4" x14ac:dyDescent="0.25">
      <c r="D252" s="2"/>
    </row>
    <row r="253" spans="4:4" x14ac:dyDescent="0.25">
      <c r="D253" s="2"/>
    </row>
    <row r="254" spans="4:4" x14ac:dyDescent="0.25">
      <c r="D254" s="2"/>
    </row>
    <row r="255" spans="4:4" x14ac:dyDescent="0.25">
      <c r="D255" s="2"/>
    </row>
    <row r="256" spans="4:4" x14ac:dyDescent="0.25">
      <c r="D256" s="2"/>
    </row>
    <row r="257" spans="4:4" x14ac:dyDescent="0.25">
      <c r="D257" s="2"/>
    </row>
    <row r="258" spans="4:4" x14ac:dyDescent="0.25">
      <c r="D258" s="2"/>
    </row>
    <row r="259" spans="4:4" x14ac:dyDescent="0.25">
      <c r="D259" s="2"/>
    </row>
    <row r="260" spans="4:4" x14ac:dyDescent="0.25">
      <c r="D260" s="2"/>
    </row>
    <row r="261" spans="4:4" x14ac:dyDescent="0.25">
      <c r="D261" s="2"/>
    </row>
    <row r="262" spans="4:4" x14ac:dyDescent="0.25">
      <c r="D262" s="2"/>
    </row>
    <row r="263" spans="4:4" x14ac:dyDescent="0.25">
      <c r="D263" s="2"/>
    </row>
    <row r="264" spans="4:4" x14ac:dyDescent="0.25">
      <c r="D264" s="2"/>
    </row>
    <row r="265" spans="4:4" x14ac:dyDescent="0.25">
      <c r="D265" s="2"/>
    </row>
    <row r="266" spans="4:4" x14ac:dyDescent="0.25">
      <c r="D266" s="2"/>
    </row>
    <row r="267" spans="4:4" x14ac:dyDescent="0.25">
      <c r="D267" s="2"/>
    </row>
    <row r="268" spans="4:4" x14ac:dyDescent="0.25">
      <c r="D268" s="2"/>
    </row>
    <row r="269" spans="4:4" x14ac:dyDescent="0.25">
      <c r="D269" s="2"/>
    </row>
    <row r="270" spans="4:4" x14ac:dyDescent="0.25">
      <c r="D270" s="2"/>
    </row>
    <row r="271" spans="4:4" x14ac:dyDescent="0.25">
      <c r="D271" s="2"/>
    </row>
    <row r="272" spans="4:4" x14ac:dyDescent="0.25">
      <c r="D272" s="2"/>
    </row>
    <row r="273" spans="4:4" x14ac:dyDescent="0.25">
      <c r="D273" s="2"/>
    </row>
    <row r="274" spans="4:4" x14ac:dyDescent="0.25">
      <c r="D274" s="2"/>
    </row>
    <row r="275" spans="4:4" x14ac:dyDescent="0.25">
      <c r="D275" s="2"/>
    </row>
    <row r="276" spans="4:4" x14ac:dyDescent="0.25">
      <c r="D276" s="2"/>
    </row>
    <row r="277" spans="4:4" x14ac:dyDescent="0.25">
      <c r="D277" s="2"/>
    </row>
    <row r="278" spans="4:4" x14ac:dyDescent="0.25">
      <c r="D278" s="2"/>
    </row>
    <row r="279" spans="4:4" x14ac:dyDescent="0.25">
      <c r="D279" s="2"/>
    </row>
    <row r="280" spans="4:4" x14ac:dyDescent="0.25">
      <c r="D280" s="2"/>
    </row>
    <row r="281" spans="4:4" x14ac:dyDescent="0.25">
      <c r="D281" s="2"/>
    </row>
    <row r="282" spans="4:4" x14ac:dyDescent="0.25">
      <c r="D282" s="2"/>
    </row>
    <row r="283" spans="4:4" x14ac:dyDescent="0.25">
      <c r="D283" s="2"/>
    </row>
    <row r="284" spans="4:4" x14ac:dyDescent="0.25">
      <c r="D284" s="2"/>
    </row>
    <row r="285" spans="4:4" x14ac:dyDescent="0.25">
      <c r="D285" s="2"/>
    </row>
    <row r="286" spans="4:4" x14ac:dyDescent="0.25">
      <c r="D286" s="2"/>
    </row>
    <row r="287" spans="4:4" x14ac:dyDescent="0.25">
      <c r="D287" s="2"/>
    </row>
    <row r="288" spans="4:4" x14ac:dyDescent="0.25">
      <c r="D288" s="2"/>
    </row>
    <row r="289" spans="4:4" x14ac:dyDescent="0.25">
      <c r="D289" s="2"/>
    </row>
    <row r="290" spans="4:4" x14ac:dyDescent="0.25">
      <c r="D290" s="2"/>
    </row>
    <row r="291" spans="4:4" x14ac:dyDescent="0.25">
      <c r="D291" s="2"/>
    </row>
    <row r="292" spans="4:4" x14ac:dyDescent="0.25">
      <c r="D292" s="2"/>
    </row>
    <row r="293" spans="4:4" x14ac:dyDescent="0.25">
      <c r="D293" s="2"/>
    </row>
    <row r="294" spans="4:4" x14ac:dyDescent="0.25">
      <c r="D294" s="2"/>
    </row>
    <row r="295" spans="4:4" x14ac:dyDescent="0.25">
      <c r="D295" s="2"/>
    </row>
    <row r="296" spans="4:4" x14ac:dyDescent="0.25">
      <c r="D296" s="2"/>
    </row>
    <row r="297" spans="4:4" x14ac:dyDescent="0.25">
      <c r="D297" s="2"/>
    </row>
    <row r="298" spans="4:4" x14ac:dyDescent="0.25">
      <c r="D298" s="2"/>
    </row>
    <row r="299" spans="4:4" x14ac:dyDescent="0.25">
      <c r="D299" s="2"/>
    </row>
    <row r="300" spans="4:4" x14ac:dyDescent="0.25">
      <c r="D300" s="2"/>
    </row>
    <row r="301" spans="4:4" x14ac:dyDescent="0.25">
      <c r="D301" s="2"/>
    </row>
    <row r="302" spans="4:4" x14ac:dyDescent="0.25">
      <c r="D302" s="2"/>
    </row>
    <row r="303" spans="4:4" x14ac:dyDescent="0.25">
      <c r="D303" s="2"/>
    </row>
    <row r="304" spans="4:4" x14ac:dyDescent="0.25">
      <c r="D304" s="2"/>
    </row>
    <row r="305" spans="4:4" x14ac:dyDescent="0.25">
      <c r="D305" s="2"/>
    </row>
    <row r="306" spans="4:4" x14ac:dyDescent="0.25">
      <c r="D306" s="2"/>
    </row>
    <row r="307" spans="4:4" x14ac:dyDescent="0.25">
      <c r="D307" s="2"/>
    </row>
    <row r="308" spans="4:4" x14ac:dyDescent="0.25">
      <c r="D308" s="2"/>
    </row>
    <row r="309" spans="4:4" x14ac:dyDescent="0.25">
      <c r="D309" s="2"/>
    </row>
    <row r="310" spans="4:4" x14ac:dyDescent="0.25">
      <c r="D310" s="2"/>
    </row>
    <row r="311" spans="4:4" x14ac:dyDescent="0.25">
      <c r="D311" s="2"/>
    </row>
    <row r="312" spans="4:4" x14ac:dyDescent="0.25">
      <c r="D312" s="2"/>
    </row>
    <row r="313" spans="4:4" x14ac:dyDescent="0.25">
      <c r="D313" s="2"/>
    </row>
    <row r="314" spans="4:4" x14ac:dyDescent="0.25">
      <c r="D314" s="2"/>
    </row>
    <row r="315" spans="4:4" x14ac:dyDescent="0.25">
      <c r="D315" s="2"/>
    </row>
    <row r="316" spans="4:4" x14ac:dyDescent="0.25">
      <c r="D316" s="2"/>
    </row>
    <row r="317" spans="4:4" x14ac:dyDescent="0.25">
      <c r="D317" s="2"/>
    </row>
    <row r="318" spans="4:4" x14ac:dyDescent="0.25">
      <c r="D318" s="2"/>
    </row>
    <row r="319" spans="4:4" x14ac:dyDescent="0.25">
      <c r="D319" s="2"/>
    </row>
    <row r="320" spans="4:4" x14ac:dyDescent="0.25">
      <c r="D320" s="2"/>
    </row>
    <row r="321" spans="4:4" x14ac:dyDescent="0.25">
      <c r="D321" s="2"/>
    </row>
    <row r="322" spans="4:4" x14ac:dyDescent="0.25">
      <c r="D322" s="2"/>
    </row>
    <row r="323" spans="4:4" x14ac:dyDescent="0.25">
      <c r="D323" s="2"/>
    </row>
    <row r="324" spans="4:4" x14ac:dyDescent="0.25">
      <c r="D324" s="2"/>
    </row>
    <row r="325" spans="4:4" x14ac:dyDescent="0.25">
      <c r="D325" s="2"/>
    </row>
    <row r="326" spans="4:4" x14ac:dyDescent="0.25">
      <c r="D326" s="2"/>
    </row>
    <row r="327" spans="4:4" x14ac:dyDescent="0.25">
      <c r="D327" s="2"/>
    </row>
    <row r="328" spans="4:4" x14ac:dyDescent="0.25">
      <c r="D328" s="2"/>
    </row>
    <row r="329" spans="4:4" x14ac:dyDescent="0.25">
      <c r="D329" s="2"/>
    </row>
    <row r="330" spans="4:4" x14ac:dyDescent="0.25">
      <c r="D330" s="2"/>
    </row>
    <row r="331" spans="4:4" x14ac:dyDescent="0.25">
      <c r="D331" s="2"/>
    </row>
    <row r="332" spans="4:4" x14ac:dyDescent="0.25">
      <c r="D332" s="2"/>
    </row>
    <row r="333" spans="4:4" x14ac:dyDescent="0.25">
      <c r="D333" s="2"/>
    </row>
    <row r="334" spans="4:4" x14ac:dyDescent="0.25">
      <c r="D334" s="2"/>
    </row>
    <row r="335" spans="4:4" x14ac:dyDescent="0.25">
      <c r="D335" s="2"/>
    </row>
    <row r="336" spans="4:4" x14ac:dyDescent="0.25">
      <c r="D336" s="2"/>
    </row>
    <row r="337" spans="4:4" x14ac:dyDescent="0.25">
      <c r="D337" s="2"/>
    </row>
    <row r="338" spans="4:4" x14ac:dyDescent="0.25">
      <c r="D338" s="2"/>
    </row>
    <row r="339" spans="4:4" x14ac:dyDescent="0.25">
      <c r="D339" s="2"/>
    </row>
    <row r="340" spans="4:4" x14ac:dyDescent="0.25">
      <c r="D340" s="2"/>
    </row>
    <row r="341" spans="4:4" x14ac:dyDescent="0.25">
      <c r="D341" s="2"/>
    </row>
    <row r="342" spans="4:4" x14ac:dyDescent="0.25">
      <c r="D342" s="2"/>
    </row>
    <row r="343" spans="4:4" x14ac:dyDescent="0.25">
      <c r="D343" s="2"/>
    </row>
    <row r="344" spans="4:4" x14ac:dyDescent="0.25">
      <c r="D344" s="2"/>
    </row>
    <row r="345" spans="4:4" x14ac:dyDescent="0.25">
      <c r="D345" s="2"/>
    </row>
    <row r="346" spans="4:4" x14ac:dyDescent="0.25">
      <c r="D346" s="2"/>
    </row>
    <row r="347" spans="4:4" x14ac:dyDescent="0.25">
      <c r="D347" s="2"/>
    </row>
    <row r="348" spans="4:4" x14ac:dyDescent="0.25">
      <c r="D348" s="2"/>
    </row>
    <row r="349" spans="4:4" x14ac:dyDescent="0.25">
      <c r="D349" s="2"/>
    </row>
    <row r="350" spans="4:4" x14ac:dyDescent="0.25">
      <c r="D350" s="2"/>
    </row>
    <row r="351" spans="4:4" x14ac:dyDescent="0.25">
      <c r="D351" s="2"/>
    </row>
    <row r="352" spans="4:4" x14ac:dyDescent="0.25">
      <c r="D352" s="2"/>
    </row>
    <row r="353" spans="4:4" x14ac:dyDescent="0.25">
      <c r="D353" s="2"/>
    </row>
    <row r="354" spans="4:4" x14ac:dyDescent="0.25">
      <c r="D354" s="2"/>
    </row>
    <row r="355" spans="4:4" x14ac:dyDescent="0.25">
      <c r="D355" s="2"/>
    </row>
    <row r="356" spans="4:4" x14ac:dyDescent="0.25">
      <c r="D356" s="2"/>
    </row>
    <row r="357" spans="4:4" x14ac:dyDescent="0.25">
      <c r="D357" s="2"/>
    </row>
    <row r="358" spans="4:4" x14ac:dyDescent="0.25">
      <c r="D358" s="2"/>
    </row>
    <row r="359" spans="4:4" x14ac:dyDescent="0.25">
      <c r="D359" s="2"/>
    </row>
    <row r="360" spans="4:4" x14ac:dyDescent="0.25">
      <c r="D360" s="2"/>
    </row>
    <row r="361" spans="4:4" x14ac:dyDescent="0.25">
      <c r="D361" s="2"/>
    </row>
    <row r="362" spans="4:4" x14ac:dyDescent="0.25">
      <c r="D362" s="2"/>
    </row>
    <row r="363" spans="4:4" x14ac:dyDescent="0.25">
      <c r="D363" s="2"/>
    </row>
    <row r="364" spans="4:4" x14ac:dyDescent="0.25">
      <c r="D364" s="2"/>
    </row>
    <row r="365" spans="4:4" x14ac:dyDescent="0.25">
      <c r="D365" s="2"/>
    </row>
    <row r="366" spans="4:4" x14ac:dyDescent="0.25">
      <c r="D366" s="2"/>
    </row>
    <row r="367" spans="4:4" x14ac:dyDescent="0.25">
      <c r="D367" s="2"/>
    </row>
    <row r="368" spans="4:4" x14ac:dyDescent="0.25">
      <c r="D368" s="2"/>
    </row>
    <row r="369" spans="4:4" x14ac:dyDescent="0.25">
      <c r="D369" s="2"/>
    </row>
    <row r="370" spans="4:4" x14ac:dyDescent="0.25">
      <c r="D370" s="2"/>
    </row>
    <row r="371" spans="4:4" x14ac:dyDescent="0.25">
      <c r="D371" s="2"/>
    </row>
    <row r="372" spans="4:4" x14ac:dyDescent="0.25">
      <c r="D372" s="2"/>
    </row>
    <row r="373" spans="4:4" x14ac:dyDescent="0.25">
      <c r="D373" s="2"/>
    </row>
    <row r="374" spans="4:4" x14ac:dyDescent="0.25">
      <c r="D374" s="2"/>
    </row>
    <row r="375" spans="4:4" x14ac:dyDescent="0.25">
      <c r="D375" s="2"/>
    </row>
    <row r="376" spans="4:4" x14ac:dyDescent="0.25">
      <c r="D376" s="2"/>
    </row>
    <row r="377" spans="4:4" x14ac:dyDescent="0.25">
      <c r="D377" s="2"/>
    </row>
    <row r="378" spans="4:4" x14ac:dyDescent="0.25">
      <c r="D378" s="2"/>
    </row>
    <row r="379" spans="4:4" x14ac:dyDescent="0.25">
      <c r="D379" s="2"/>
    </row>
    <row r="380" spans="4:4" x14ac:dyDescent="0.25">
      <c r="D380" s="2"/>
    </row>
    <row r="381" spans="4:4" x14ac:dyDescent="0.25">
      <c r="D381" s="2"/>
    </row>
    <row r="382" spans="4:4" x14ac:dyDescent="0.25">
      <c r="D382" s="2"/>
    </row>
    <row r="383" spans="4:4" x14ac:dyDescent="0.25">
      <c r="D383" s="2"/>
    </row>
    <row r="384" spans="4:4" x14ac:dyDescent="0.25">
      <c r="D384" s="2"/>
    </row>
    <row r="385" spans="4:4" x14ac:dyDescent="0.25">
      <c r="D385" s="2"/>
    </row>
    <row r="386" spans="4:4" x14ac:dyDescent="0.25">
      <c r="D386" s="2"/>
    </row>
    <row r="387" spans="4:4" x14ac:dyDescent="0.25">
      <c r="D387" s="2"/>
    </row>
    <row r="388" spans="4:4" x14ac:dyDescent="0.25">
      <c r="D388" s="2"/>
    </row>
    <row r="389" spans="4:4" x14ac:dyDescent="0.25">
      <c r="D389" s="2"/>
    </row>
    <row r="390" spans="4:4" x14ac:dyDescent="0.25">
      <c r="D390" s="2"/>
    </row>
    <row r="391" spans="4:4" x14ac:dyDescent="0.25">
      <c r="D391" s="2"/>
    </row>
    <row r="392" spans="4:4" x14ac:dyDescent="0.25">
      <c r="D392" s="2"/>
    </row>
    <row r="393" spans="4:4" x14ac:dyDescent="0.25">
      <c r="D393" s="2"/>
    </row>
    <row r="394" spans="4:4" x14ac:dyDescent="0.25">
      <c r="D394" s="2"/>
    </row>
    <row r="395" spans="4:4" x14ac:dyDescent="0.25">
      <c r="D395" s="2"/>
    </row>
    <row r="396" spans="4:4" x14ac:dyDescent="0.25">
      <c r="D396" s="2"/>
    </row>
    <row r="397" spans="4:4" x14ac:dyDescent="0.25">
      <c r="D397" s="2"/>
    </row>
    <row r="398" spans="4:4" x14ac:dyDescent="0.25">
      <c r="D398" s="2"/>
    </row>
    <row r="399" spans="4:4" x14ac:dyDescent="0.25">
      <c r="D399" s="2"/>
    </row>
    <row r="400" spans="4:4" x14ac:dyDescent="0.25">
      <c r="D400" s="2"/>
    </row>
    <row r="401" spans="4:4" x14ac:dyDescent="0.25">
      <c r="D401" s="2"/>
    </row>
    <row r="402" spans="4:4" x14ac:dyDescent="0.25">
      <c r="D402" s="2"/>
    </row>
    <row r="403" spans="4:4" x14ac:dyDescent="0.25">
      <c r="D403" s="2"/>
    </row>
    <row r="404" spans="4:4" x14ac:dyDescent="0.25">
      <c r="D404" s="2"/>
    </row>
    <row r="405" spans="4:4" x14ac:dyDescent="0.25">
      <c r="D405" s="2"/>
    </row>
    <row r="406" spans="4:4" x14ac:dyDescent="0.25">
      <c r="D406" s="2"/>
    </row>
    <row r="407" spans="4:4" x14ac:dyDescent="0.25">
      <c r="D407" s="2"/>
    </row>
    <row r="408" spans="4:4" x14ac:dyDescent="0.25">
      <c r="D408" s="2"/>
    </row>
    <row r="409" spans="4:4" x14ac:dyDescent="0.25">
      <c r="D409" s="2"/>
    </row>
    <row r="410" spans="4:4" x14ac:dyDescent="0.25">
      <c r="D410" s="2"/>
    </row>
    <row r="411" spans="4:4" x14ac:dyDescent="0.25">
      <c r="D411" s="2"/>
    </row>
    <row r="412" spans="4:4" x14ac:dyDescent="0.25">
      <c r="D412" s="2"/>
    </row>
    <row r="413" spans="4:4" x14ac:dyDescent="0.25">
      <c r="D413" s="2"/>
    </row>
    <row r="414" spans="4:4" x14ac:dyDescent="0.25">
      <c r="D414" s="2"/>
    </row>
    <row r="415" spans="4:4" x14ac:dyDescent="0.25">
      <c r="D415" s="2"/>
    </row>
    <row r="416" spans="4:4" x14ac:dyDescent="0.25">
      <c r="D416" s="2"/>
    </row>
    <row r="417" spans="4:4" x14ac:dyDescent="0.25">
      <c r="D417" s="2"/>
    </row>
    <row r="418" spans="4:4" x14ac:dyDescent="0.25">
      <c r="D418" s="2"/>
    </row>
    <row r="419" spans="4:4" x14ac:dyDescent="0.25">
      <c r="D419" s="2"/>
    </row>
    <row r="420" spans="4:4" x14ac:dyDescent="0.25">
      <c r="D420" s="2"/>
    </row>
    <row r="421" spans="4:4" x14ac:dyDescent="0.25">
      <c r="D421" s="2"/>
    </row>
    <row r="422" spans="4:4" x14ac:dyDescent="0.25">
      <c r="D422" s="2"/>
    </row>
    <row r="423" spans="4:4" x14ac:dyDescent="0.25">
      <c r="D423" s="2"/>
    </row>
    <row r="424" spans="4:4" x14ac:dyDescent="0.25">
      <c r="D424" s="2"/>
    </row>
    <row r="425" spans="4:4" x14ac:dyDescent="0.25">
      <c r="D425" s="2"/>
    </row>
    <row r="426" spans="4:4" x14ac:dyDescent="0.25">
      <c r="D426" s="2"/>
    </row>
    <row r="427" spans="4:4" x14ac:dyDescent="0.25">
      <c r="D427" s="2"/>
    </row>
    <row r="428" spans="4:4" x14ac:dyDescent="0.25">
      <c r="D428" s="2"/>
    </row>
    <row r="429" spans="4:4" x14ac:dyDescent="0.25">
      <c r="D429" s="2"/>
    </row>
    <row r="430" spans="4:4" x14ac:dyDescent="0.25">
      <c r="D430" s="2"/>
    </row>
    <row r="431" spans="4:4" x14ac:dyDescent="0.25">
      <c r="D431" s="2"/>
    </row>
    <row r="432" spans="4:4" x14ac:dyDescent="0.25">
      <c r="D432" s="2"/>
    </row>
    <row r="433" spans="4:4" x14ac:dyDescent="0.25">
      <c r="D433" s="2"/>
    </row>
    <row r="434" spans="4:4" x14ac:dyDescent="0.25">
      <c r="D434" s="2"/>
    </row>
    <row r="435" spans="4:4" x14ac:dyDescent="0.25">
      <c r="D435" s="2"/>
    </row>
    <row r="436" spans="4:4" x14ac:dyDescent="0.25">
      <c r="D436" s="2"/>
    </row>
    <row r="437" spans="4:4" x14ac:dyDescent="0.25">
      <c r="D437" s="2"/>
    </row>
    <row r="438" spans="4:4" x14ac:dyDescent="0.25">
      <c r="D438" s="2"/>
    </row>
    <row r="439" spans="4:4" x14ac:dyDescent="0.25">
      <c r="D439" s="2"/>
    </row>
    <row r="440" spans="4:4" x14ac:dyDescent="0.25">
      <c r="D440" s="2"/>
    </row>
    <row r="441" spans="4:4" x14ac:dyDescent="0.25">
      <c r="D441" s="2"/>
    </row>
    <row r="442" spans="4:4" x14ac:dyDescent="0.25">
      <c r="D442" s="2"/>
    </row>
    <row r="443" spans="4:4" x14ac:dyDescent="0.25">
      <c r="D443" s="2"/>
    </row>
    <row r="444" spans="4:4" x14ac:dyDescent="0.25">
      <c r="D444" s="2"/>
    </row>
    <row r="445" spans="4:4" x14ac:dyDescent="0.25">
      <c r="D445" s="2"/>
    </row>
    <row r="446" spans="4:4" x14ac:dyDescent="0.25">
      <c r="D446" s="2"/>
    </row>
    <row r="447" spans="4:4" x14ac:dyDescent="0.25">
      <c r="D447" s="2"/>
    </row>
    <row r="448" spans="4:4" x14ac:dyDescent="0.25">
      <c r="D448" s="2"/>
    </row>
    <row r="449" spans="4:4" x14ac:dyDescent="0.25">
      <c r="D449" s="2"/>
    </row>
    <row r="450" spans="4:4" x14ac:dyDescent="0.25">
      <c r="D450" s="2"/>
    </row>
    <row r="451" spans="4:4" x14ac:dyDescent="0.25">
      <c r="D451" s="2"/>
    </row>
    <row r="452" spans="4:4" x14ac:dyDescent="0.25">
      <c r="D452" s="2"/>
    </row>
    <row r="453" spans="4:4" x14ac:dyDescent="0.25">
      <c r="D453" s="2"/>
    </row>
    <row r="454" spans="4:4" x14ac:dyDescent="0.25">
      <c r="D454" s="2"/>
    </row>
    <row r="455" spans="4:4" x14ac:dyDescent="0.25">
      <c r="D455" s="2"/>
    </row>
    <row r="456" spans="4:4" x14ac:dyDescent="0.25">
      <c r="D456" s="2"/>
    </row>
    <row r="457" spans="4:4" x14ac:dyDescent="0.25">
      <c r="D457" s="2"/>
    </row>
    <row r="458" spans="4:4" x14ac:dyDescent="0.25">
      <c r="D458" s="2"/>
    </row>
    <row r="459" spans="4:4" x14ac:dyDescent="0.25">
      <c r="D459" s="2"/>
    </row>
    <row r="460" spans="4:4" x14ac:dyDescent="0.25">
      <c r="D460" s="2"/>
    </row>
    <row r="461" spans="4:4" x14ac:dyDescent="0.25">
      <c r="D461" s="2"/>
    </row>
    <row r="462" spans="4:4" x14ac:dyDescent="0.25">
      <c r="D462" s="2"/>
    </row>
    <row r="463" spans="4:4" x14ac:dyDescent="0.25">
      <c r="D463" s="2"/>
    </row>
    <row r="464" spans="4:4" x14ac:dyDescent="0.25">
      <c r="D464" s="2"/>
    </row>
    <row r="465" spans="4:4" x14ac:dyDescent="0.25">
      <c r="D465" s="2"/>
    </row>
    <row r="466" spans="4:4" x14ac:dyDescent="0.25">
      <c r="D466" s="2"/>
    </row>
    <row r="467" spans="4:4" x14ac:dyDescent="0.25">
      <c r="D467" s="2"/>
    </row>
    <row r="468" spans="4:4" x14ac:dyDescent="0.25">
      <c r="D468" s="2"/>
    </row>
    <row r="469" spans="4:4" x14ac:dyDescent="0.25">
      <c r="D469" s="2"/>
    </row>
    <row r="470" spans="4:4" x14ac:dyDescent="0.25">
      <c r="D470" s="2"/>
    </row>
    <row r="471" spans="4:4" x14ac:dyDescent="0.25">
      <c r="D471" s="2"/>
    </row>
    <row r="472" spans="4:4" x14ac:dyDescent="0.25">
      <c r="D472" s="2"/>
    </row>
    <row r="473" spans="4:4" x14ac:dyDescent="0.25">
      <c r="D473" s="2"/>
    </row>
    <row r="474" spans="4:4" x14ac:dyDescent="0.25">
      <c r="D474" s="2"/>
    </row>
    <row r="475" spans="4:4" x14ac:dyDescent="0.25">
      <c r="D475" s="2"/>
    </row>
    <row r="476" spans="4:4" x14ac:dyDescent="0.25">
      <c r="D476" s="2"/>
    </row>
    <row r="477" spans="4:4" x14ac:dyDescent="0.25">
      <c r="D477" s="2"/>
    </row>
    <row r="478" spans="4:4" x14ac:dyDescent="0.25">
      <c r="D478" s="2"/>
    </row>
    <row r="479" spans="4:4" x14ac:dyDescent="0.25">
      <c r="D479" s="2"/>
    </row>
    <row r="480" spans="4:4" x14ac:dyDescent="0.25">
      <c r="D480" s="2"/>
    </row>
    <row r="481" spans="4:4" x14ac:dyDescent="0.25">
      <c r="D481" s="2"/>
    </row>
    <row r="482" spans="4:4" x14ac:dyDescent="0.25">
      <c r="D482" s="2"/>
    </row>
    <row r="483" spans="4:4" x14ac:dyDescent="0.25">
      <c r="D483" s="2"/>
    </row>
    <row r="484" spans="4:4" x14ac:dyDescent="0.25">
      <c r="D484" s="2"/>
    </row>
    <row r="485" spans="4:4" x14ac:dyDescent="0.25">
      <c r="D485" s="2"/>
    </row>
    <row r="486" spans="4:4" x14ac:dyDescent="0.25">
      <c r="D486" s="2"/>
    </row>
    <row r="487" spans="4:4" x14ac:dyDescent="0.25">
      <c r="D487" s="2"/>
    </row>
    <row r="488" spans="4:4" x14ac:dyDescent="0.25">
      <c r="D488" s="2"/>
    </row>
    <row r="489" spans="4:4" x14ac:dyDescent="0.25">
      <c r="D489" s="2"/>
    </row>
    <row r="490" spans="4:4" x14ac:dyDescent="0.25">
      <c r="D490" s="2"/>
    </row>
    <row r="491" spans="4:4" x14ac:dyDescent="0.25">
      <c r="D491" s="2"/>
    </row>
    <row r="492" spans="4:4" x14ac:dyDescent="0.25">
      <c r="D492" s="2"/>
    </row>
    <row r="493" spans="4:4" x14ac:dyDescent="0.25">
      <c r="D493" s="2"/>
    </row>
    <row r="494" spans="4:4" x14ac:dyDescent="0.25">
      <c r="D494" s="2"/>
    </row>
    <row r="495" spans="4:4" x14ac:dyDescent="0.25">
      <c r="D495" s="2"/>
    </row>
    <row r="496" spans="4:4" x14ac:dyDescent="0.25">
      <c r="D496" s="2"/>
    </row>
    <row r="497" spans="4:4" x14ac:dyDescent="0.25">
      <c r="D497" s="2"/>
    </row>
    <row r="498" spans="4:4" x14ac:dyDescent="0.25">
      <c r="D498" s="2"/>
    </row>
    <row r="499" spans="4:4" x14ac:dyDescent="0.25">
      <c r="D499" s="2"/>
    </row>
    <row r="500" spans="4:4" x14ac:dyDescent="0.25">
      <c r="D500" s="2"/>
    </row>
    <row r="501" spans="4:4" x14ac:dyDescent="0.25">
      <c r="D501" s="2"/>
    </row>
    <row r="502" spans="4:4" x14ac:dyDescent="0.25">
      <c r="D502" s="2"/>
    </row>
    <row r="503" spans="4:4" x14ac:dyDescent="0.25">
      <c r="D503" s="2"/>
    </row>
    <row r="504" spans="4:4" x14ac:dyDescent="0.25">
      <c r="D504" s="2"/>
    </row>
    <row r="505" spans="4:4" x14ac:dyDescent="0.25">
      <c r="D505" s="2"/>
    </row>
    <row r="506" spans="4:4" x14ac:dyDescent="0.25">
      <c r="D506" s="2"/>
    </row>
    <row r="507" spans="4:4" x14ac:dyDescent="0.25">
      <c r="D507" s="2"/>
    </row>
    <row r="508" spans="4:4" x14ac:dyDescent="0.25">
      <c r="D508" s="2"/>
    </row>
    <row r="509" spans="4:4" x14ac:dyDescent="0.25">
      <c r="D509" s="2"/>
    </row>
    <row r="510" spans="4:4" x14ac:dyDescent="0.25">
      <c r="D510" s="2"/>
    </row>
    <row r="511" spans="4:4" x14ac:dyDescent="0.25">
      <c r="D511" s="2"/>
    </row>
    <row r="512" spans="4:4" x14ac:dyDescent="0.25">
      <c r="D512" s="2"/>
    </row>
    <row r="513" spans="4:4" x14ac:dyDescent="0.25">
      <c r="D513" s="2"/>
    </row>
    <row r="514" spans="4:4" x14ac:dyDescent="0.25">
      <c r="D514" s="2"/>
    </row>
    <row r="515" spans="4:4" x14ac:dyDescent="0.25">
      <c r="D515" s="2"/>
    </row>
    <row r="516" spans="4:4" x14ac:dyDescent="0.25">
      <c r="D516" s="2"/>
    </row>
    <row r="517" spans="4:4" x14ac:dyDescent="0.25">
      <c r="D517" s="2"/>
    </row>
    <row r="518" spans="4:4" x14ac:dyDescent="0.25">
      <c r="D518" s="2"/>
    </row>
    <row r="519" spans="4:4" x14ac:dyDescent="0.25">
      <c r="D519" s="2"/>
    </row>
    <row r="520" spans="4:4" x14ac:dyDescent="0.25">
      <c r="D520" s="2"/>
    </row>
    <row r="521" spans="4:4" x14ac:dyDescent="0.25">
      <c r="D521" s="2"/>
    </row>
    <row r="522" spans="4:4" x14ac:dyDescent="0.25">
      <c r="D522" s="2"/>
    </row>
    <row r="523" spans="4:4" x14ac:dyDescent="0.25">
      <c r="D523" s="2"/>
    </row>
    <row r="524" spans="4:4" x14ac:dyDescent="0.25">
      <c r="D524" s="2"/>
    </row>
    <row r="525" spans="4:4" x14ac:dyDescent="0.25">
      <c r="D525" s="2"/>
    </row>
    <row r="526" spans="4:4" x14ac:dyDescent="0.25">
      <c r="D526" s="2"/>
    </row>
    <row r="527" spans="4:4" x14ac:dyDescent="0.25">
      <c r="D527" s="2"/>
    </row>
    <row r="528" spans="4:4" x14ac:dyDescent="0.25">
      <c r="D528" s="2"/>
    </row>
    <row r="529" spans="4:4" x14ac:dyDescent="0.25">
      <c r="D529" s="2"/>
    </row>
    <row r="530" spans="4:4" x14ac:dyDescent="0.25">
      <c r="D530" s="2"/>
    </row>
    <row r="531" spans="4:4" x14ac:dyDescent="0.25">
      <c r="D531" s="2"/>
    </row>
    <row r="532" spans="4:4" x14ac:dyDescent="0.25">
      <c r="D532" s="2"/>
    </row>
    <row r="533" spans="4:4" x14ac:dyDescent="0.25">
      <c r="D533" s="2"/>
    </row>
    <row r="534" spans="4:4" x14ac:dyDescent="0.25">
      <c r="D534" s="2"/>
    </row>
    <row r="535" spans="4:4" x14ac:dyDescent="0.25">
      <c r="D535" s="2"/>
    </row>
    <row r="536" spans="4:4" x14ac:dyDescent="0.25">
      <c r="D536" s="2"/>
    </row>
    <row r="537" spans="4:4" x14ac:dyDescent="0.25">
      <c r="D537" s="2"/>
    </row>
    <row r="538" spans="4:4" x14ac:dyDescent="0.25">
      <c r="D538" s="2"/>
    </row>
    <row r="539" spans="4:4" x14ac:dyDescent="0.25">
      <c r="D539" s="2"/>
    </row>
    <row r="540" spans="4:4" x14ac:dyDescent="0.25">
      <c r="D540" s="2"/>
    </row>
    <row r="541" spans="4:4" x14ac:dyDescent="0.25">
      <c r="D541" s="2"/>
    </row>
    <row r="542" spans="4:4" x14ac:dyDescent="0.25">
      <c r="D542" s="2"/>
    </row>
    <row r="543" spans="4:4" x14ac:dyDescent="0.25">
      <c r="D543" s="2"/>
    </row>
    <row r="544" spans="4:4" x14ac:dyDescent="0.25">
      <c r="D544" s="2"/>
    </row>
    <row r="545" spans="4:4" x14ac:dyDescent="0.25">
      <c r="D545" s="2"/>
    </row>
    <row r="546" spans="4:4" x14ac:dyDescent="0.25">
      <c r="D546" s="2"/>
    </row>
    <row r="547" spans="4:4" x14ac:dyDescent="0.25">
      <c r="D547" s="2"/>
    </row>
    <row r="548" spans="4:4" x14ac:dyDescent="0.25">
      <c r="D548" s="2"/>
    </row>
    <row r="549" spans="4:4" x14ac:dyDescent="0.25">
      <c r="D549" s="2"/>
    </row>
    <row r="550" spans="4:4" x14ac:dyDescent="0.25">
      <c r="D550" s="2"/>
    </row>
    <row r="551" spans="4:4" x14ac:dyDescent="0.25">
      <c r="D551" s="2"/>
    </row>
    <row r="552" spans="4:4" x14ac:dyDescent="0.25">
      <c r="D552" s="2"/>
    </row>
    <row r="553" spans="4:4" x14ac:dyDescent="0.25">
      <c r="D553" s="2"/>
    </row>
    <row r="554" spans="4:4" x14ac:dyDescent="0.25">
      <c r="D554" s="2"/>
    </row>
    <row r="555" spans="4:4" x14ac:dyDescent="0.25">
      <c r="D555" s="2"/>
    </row>
    <row r="556" spans="4:4" x14ac:dyDescent="0.25">
      <c r="D556" s="2"/>
    </row>
    <row r="557" spans="4:4" x14ac:dyDescent="0.25">
      <c r="D557" s="2"/>
    </row>
    <row r="558" spans="4:4" x14ac:dyDescent="0.25">
      <c r="D558" s="2"/>
    </row>
    <row r="559" spans="4:4" x14ac:dyDescent="0.25">
      <c r="D559" s="2"/>
    </row>
    <row r="560" spans="4:4" x14ac:dyDescent="0.25">
      <c r="D560" s="2"/>
    </row>
    <row r="561" spans="4:4" x14ac:dyDescent="0.25">
      <c r="D561" s="2"/>
    </row>
    <row r="562" spans="4:4" x14ac:dyDescent="0.25">
      <c r="D562" s="2"/>
    </row>
    <row r="563" spans="4:4" x14ac:dyDescent="0.25">
      <c r="D563" s="2"/>
    </row>
    <row r="564" spans="4:4" x14ac:dyDescent="0.25">
      <c r="D564" s="2"/>
    </row>
    <row r="565" spans="4:4" x14ac:dyDescent="0.25">
      <c r="D565" s="2"/>
    </row>
    <row r="566" spans="4:4" x14ac:dyDescent="0.25">
      <c r="D566" s="2"/>
    </row>
    <row r="567" spans="4:4" x14ac:dyDescent="0.25">
      <c r="D567" s="2"/>
    </row>
    <row r="568" spans="4:4" x14ac:dyDescent="0.25">
      <c r="D568" s="2"/>
    </row>
    <row r="569" spans="4:4" x14ac:dyDescent="0.25">
      <c r="D569" s="2"/>
    </row>
    <row r="570" spans="4:4" x14ac:dyDescent="0.25">
      <c r="D570" s="2"/>
    </row>
    <row r="571" spans="4:4" x14ac:dyDescent="0.25">
      <c r="D571" s="2"/>
    </row>
    <row r="572" spans="4:4" x14ac:dyDescent="0.25">
      <c r="D572" s="2"/>
    </row>
    <row r="573" spans="4:4" x14ac:dyDescent="0.25">
      <c r="D573" s="2"/>
    </row>
    <row r="574" spans="4:4" x14ac:dyDescent="0.25">
      <c r="D574" s="2"/>
    </row>
    <row r="575" spans="4:4" x14ac:dyDescent="0.25">
      <c r="D575" s="2"/>
    </row>
    <row r="576" spans="4:4" x14ac:dyDescent="0.25">
      <c r="D576" s="2"/>
    </row>
    <row r="577" spans="4:4" x14ac:dyDescent="0.25">
      <c r="D577" s="2"/>
    </row>
    <row r="578" spans="4:4" x14ac:dyDescent="0.25">
      <c r="D578" s="2"/>
    </row>
    <row r="579" spans="4:4" x14ac:dyDescent="0.25">
      <c r="D579" s="2"/>
    </row>
    <row r="580" spans="4:4" x14ac:dyDescent="0.25">
      <c r="D580" s="2"/>
    </row>
    <row r="581" spans="4:4" x14ac:dyDescent="0.25">
      <c r="D581" s="2"/>
    </row>
    <row r="582" spans="4:4" x14ac:dyDescent="0.25">
      <c r="D582" s="2"/>
    </row>
    <row r="583" spans="4:4" x14ac:dyDescent="0.25">
      <c r="D583" s="2"/>
    </row>
    <row r="584" spans="4:4" x14ac:dyDescent="0.25">
      <c r="D584" s="2"/>
    </row>
    <row r="585" spans="4:4" x14ac:dyDescent="0.25">
      <c r="D585" s="2"/>
    </row>
    <row r="586" spans="4:4" x14ac:dyDescent="0.25">
      <c r="D586" s="2"/>
    </row>
    <row r="587" spans="4:4" x14ac:dyDescent="0.25">
      <c r="D587" s="2"/>
    </row>
    <row r="588" spans="4:4" x14ac:dyDescent="0.25">
      <c r="D588" s="2"/>
    </row>
    <row r="589" spans="4:4" x14ac:dyDescent="0.25">
      <c r="D589" s="2"/>
    </row>
    <row r="590" spans="4:4" x14ac:dyDescent="0.25">
      <c r="D590" s="2"/>
    </row>
    <row r="591" spans="4:4" x14ac:dyDescent="0.25">
      <c r="D591" s="2"/>
    </row>
    <row r="592" spans="4:4" x14ac:dyDescent="0.25">
      <c r="D592" s="2"/>
    </row>
    <row r="593" spans="4:4" x14ac:dyDescent="0.25">
      <c r="D593" s="2"/>
    </row>
    <row r="594" spans="4:4" x14ac:dyDescent="0.25">
      <c r="D594" s="2"/>
    </row>
    <row r="595" spans="4:4" x14ac:dyDescent="0.25">
      <c r="D595" s="2"/>
    </row>
    <row r="596" spans="4:4" x14ac:dyDescent="0.25">
      <c r="D596" s="2"/>
    </row>
    <row r="597" spans="4:4" x14ac:dyDescent="0.25">
      <c r="D597" s="2"/>
    </row>
    <row r="598" spans="4:4" x14ac:dyDescent="0.25">
      <c r="D598" s="2"/>
    </row>
    <row r="599" spans="4:4" x14ac:dyDescent="0.25">
      <c r="D599" s="2"/>
    </row>
    <row r="600" spans="4:4" x14ac:dyDescent="0.25">
      <c r="D600" s="2"/>
    </row>
    <row r="601" spans="4:4" x14ac:dyDescent="0.25">
      <c r="D601" s="2"/>
    </row>
    <row r="602" spans="4:4" x14ac:dyDescent="0.25">
      <c r="D602" s="2"/>
    </row>
    <row r="603" spans="4:4" x14ac:dyDescent="0.25">
      <c r="D603" s="2"/>
    </row>
    <row r="604" spans="4:4" x14ac:dyDescent="0.25">
      <c r="D604" s="2"/>
    </row>
    <row r="605" spans="4:4" x14ac:dyDescent="0.25">
      <c r="D605" s="2"/>
    </row>
    <row r="606" spans="4:4" x14ac:dyDescent="0.25">
      <c r="D606" s="2"/>
    </row>
    <row r="607" spans="4:4" x14ac:dyDescent="0.25">
      <c r="D607" s="2"/>
    </row>
    <row r="608" spans="4:4" x14ac:dyDescent="0.25">
      <c r="D608" s="2"/>
    </row>
    <row r="609" spans="4:4" x14ac:dyDescent="0.25">
      <c r="D609" s="2"/>
    </row>
    <row r="610" spans="4:4" x14ac:dyDescent="0.25">
      <c r="D610" s="2"/>
    </row>
    <row r="611" spans="4:4" x14ac:dyDescent="0.25">
      <c r="D611" s="2"/>
    </row>
    <row r="612" spans="4:4" x14ac:dyDescent="0.25">
      <c r="D612" s="2"/>
    </row>
    <row r="613" spans="4:4" x14ac:dyDescent="0.25">
      <c r="D613" s="2"/>
    </row>
    <row r="614" spans="4:4" x14ac:dyDescent="0.25">
      <c r="D614" s="2"/>
    </row>
    <row r="615" spans="4:4" x14ac:dyDescent="0.25">
      <c r="D615" s="2"/>
    </row>
    <row r="616" spans="4:4" x14ac:dyDescent="0.25">
      <c r="D616" s="2"/>
    </row>
    <row r="617" spans="4:4" x14ac:dyDescent="0.25">
      <c r="D617" s="2"/>
    </row>
    <row r="618" spans="4:4" x14ac:dyDescent="0.25">
      <c r="D618" s="2"/>
    </row>
    <row r="619" spans="4:4" x14ac:dyDescent="0.25">
      <c r="D619" s="2"/>
    </row>
    <row r="620" spans="4:4" x14ac:dyDescent="0.25">
      <c r="D620" s="2"/>
    </row>
    <row r="621" spans="4:4" x14ac:dyDescent="0.25">
      <c r="D621" s="2"/>
    </row>
    <row r="622" spans="4:4" x14ac:dyDescent="0.25">
      <c r="D622" s="2"/>
    </row>
    <row r="623" spans="4:4" x14ac:dyDescent="0.25">
      <c r="D623" s="2"/>
    </row>
    <row r="624" spans="4:4" x14ac:dyDescent="0.25">
      <c r="D624" s="2"/>
    </row>
    <row r="625" spans="4:4" x14ac:dyDescent="0.25">
      <c r="D625" s="2"/>
    </row>
    <row r="626" spans="4:4" x14ac:dyDescent="0.25">
      <c r="D626" s="2"/>
    </row>
    <row r="627" spans="4:4" x14ac:dyDescent="0.25">
      <c r="D627" s="2"/>
    </row>
    <row r="628" spans="4:4" x14ac:dyDescent="0.25">
      <c r="D628" s="2"/>
    </row>
    <row r="629" spans="4:4" x14ac:dyDescent="0.25">
      <c r="D629" s="2"/>
    </row>
    <row r="630" spans="4:4" x14ac:dyDescent="0.25">
      <c r="D630" s="2"/>
    </row>
    <row r="631" spans="4:4" x14ac:dyDescent="0.25">
      <c r="D631" s="2"/>
    </row>
    <row r="632" spans="4:4" x14ac:dyDescent="0.25">
      <c r="D632" s="2"/>
    </row>
    <row r="633" spans="4:4" x14ac:dyDescent="0.25">
      <c r="D633" s="2"/>
    </row>
    <row r="634" spans="4:4" x14ac:dyDescent="0.25">
      <c r="D634" s="2"/>
    </row>
    <row r="635" spans="4:4" x14ac:dyDescent="0.25">
      <c r="D635" s="2"/>
    </row>
    <row r="636" spans="4:4" x14ac:dyDescent="0.25">
      <c r="D636" s="2"/>
    </row>
    <row r="637" spans="4:4" x14ac:dyDescent="0.25">
      <c r="D637" s="2"/>
    </row>
    <row r="638" spans="4:4" x14ac:dyDescent="0.25">
      <c r="D638" s="2"/>
    </row>
    <row r="639" spans="4:4" x14ac:dyDescent="0.25">
      <c r="D639" s="2"/>
    </row>
    <row r="640" spans="4:4" x14ac:dyDescent="0.25">
      <c r="D640" s="2"/>
    </row>
    <row r="641" spans="4:4" x14ac:dyDescent="0.25">
      <c r="D641" s="2"/>
    </row>
    <row r="642" spans="4:4" x14ac:dyDescent="0.25">
      <c r="D642" s="2"/>
    </row>
    <row r="643" spans="4:4" x14ac:dyDescent="0.25">
      <c r="D643" s="2"/>
    </row>
    <row r="644" spans="4:4" x14ac:dyDescent="0.25">
      <c r="D644" s="2"/>
    </row>
    <row r="645" spans="4:4" x14ac:dyDescent="0.25">
      <c r="D645" s="2"/>
    </row>
    <row r="646" spans="4:4" x14ac:dyDescent="0.25">
      <c r="D646" s="2"/>
    </row>
    <row r="647" spans="4:4" x14ac:dyDescent="0.25">
      <c r="D647" s="2"/>
    </row>
    <row r="648" spans="4:4" x14ac:dyDescent="0.25">
      <c r="D648" s="2"/>
    </row>
    <row r="649" spans="4:4" x14ac:dyDescent="0.25">
      <c r="D649" s="2"/>
    </row>
    <row r="650" spans="4:4" x14ac:dyDescent="0.25">
      <c r="D650" s="2"/>
    </row>
    <row r="651" spans="4:4" x14ac:dyDescent="0.25">
      <c r="D651" s="2"/>
    </row>
    <row r="652" spans="4:4" x14ac:dyDescent="0.25">
      <c r="D652" s="2"/>
    </row>
    <row r="653" spans="4:4" x14ac:dyDescent="0.25">
      <c r="D653" s="2"/>
    </row>
    <row r="654" spans="4:4" x14ac:dyDescent="0.25">
      <c r="D654" s="2"/>
    </row>
    <row r="655" spans="4:4" x14ac:dyDescent="0.25">
      <c r="D655" s="2"/>
    </row>
    <row r="656" spans="4:4" x14ac:dyDescent="0.25">
      <c r="D656" s="2"/>
    </row>
    <row r="657" spans="4:4" x14ac:dyDescent="0.25">
      <c r="D657" s="2"/>
    </row>
    <row r="658" spans="4:4" x14ac:dyDescent="0.25">
      <c r="D658" s="2"/>
    </row>
    <row r="659" spans="4:4" x14ac:dyDescent="0.25">
      <c r="D659" s="2"/>
    </row>
    <row r="660" spans="4:4" x14ac:dyDescent="0.25">
      <c r="D660" s="2"/>
    </row>
    <row r="661" spans="4:4" x14ac:dyDescent="0.25">
      <c r="D661" s="2"/>
    </row>
    <row r="662" spans="4:4" x14ac:dyDescent="0.25">
      <c r="D662" s="2"/>
    </row>
    <row r="663" spans="4:4" x14ac:dyDescent="0.25">
      <c r="D663" s="2"/>
    </row>
    <row r="664" spans="4:4" x14ac:dyDescent="0.25">
      <c r="D664" s="2"/>
    </row>
    <row r="665" spans="4:4" x14ac:dyDescent="0.25">
      <c r="D665" s="2"/>
    </row>
    <row r="666" spans="4:4" x14ac:dyDescent="0.25">
      <c r="D666" s="2"/>
    </row>
    <row r="667" spans="4:4" x14ac:dyDescent="0.25">
      <c r="D667" s="2"/>
    </row>
    <row r="668" spans="4:4" x14ac:dyDescent="0.25">
      <c r="D668" s="2"/>
    </row>
    <row r="669" spans="4:4" x14ac:dyDescent="0.25">
      <c r="D669" s="2"/>
    </row>
    <row r="670" spans="4:4" x14ac:dyDescent="0.25">
      <c r="D670" s="2"/>
    </row>
    <row r="671" spans="4:4" x14ac:dyDescent="0.25">
      <c r="D671" s="2"/>
    </row>
    <row r="672" spans="4:4" x14ac:dyDescent="0.25">
      <c r="D672" s="2"/>
    </row>
    <row r="673" spans="4:4" x14ac:dyDescent="0.25">
      <c r="D673" s="2"/>
    </row>
    <row r="674" spans="4:4" x14ac:dyDescent="0.25">
      <c r="D674" s="2"/>
    </row>
    <row r="675" spans="4:4" x14ac:dyDescent="0.25">
      <c r="D675" s="2"/>
    </row>
    <row r="676" spans="4:4" x14ac:dyDescent="0.25">
      <c r="D676" s="2"/>
    </row>
    <row r="677" spans="4:4" x14ac:dyDescent="0.25">
      <c r="D677" s="2"/>
    </row>
    <row r="678" spans="4:4" x14ac:dyDescent="0.25">
      <c r="D678" s="2"/>
    </row>
    <row r="679" spans="4:4" x14ac:dyDescent="0.25">
      <c r="D679" s="2"/>
    </row>
    <row r="680" spans="4:4" x14ac:dyDescent="0.25">
      <c r="D680" s="2"/>
    </row>
    <row r="681" spans="4:4" x14ac:dyDescent="0.25">
      <c r="D681" s="2"/>
    </row>
    <row r="682" spans="4:4" x14ac:dyDescent="0.25">
      <c r="D682" s="2"/>
    </row>
    <row r="683" spans="4:4" x14ac:dyDescent="0.25">
      <c r="D683" s="2"/>
    </row>
    <row r="684" spans="4:4" x14ac:dyDescent="0.25">
      <c r="D684" s="2"/>
    </row>
    <row r="685" spans="4:4" x14ac:dyDescent="0.25">
      <c r="D685" s="2"/>
    </row>
    <row r="686" spans="4:4" x14ac:dyDescent="0.25">
      <c r="D686" s="2"/>
    </row>
    <row r="687" spans="4:4" x14ac:dyDescent="0.25">
      <c r="D687" s="2"/>
    </row>
    <row r="688" spans="4:4" x14ac:dyDescent="0.25">
      <c r="D688" s="2"/>
    </row>
    <row r="689" spans="4:4" x14ac:dyDescent="0.25">
      <c r="D689" s="2"/>
    </row>
    <row r="690" spans="4:4" x14ac:dyDescent="0.25">
      <c r="D690" s="2"/>
    </row>
    <row r="691" spans="4:4" x14ac:dyDescent="0.25">
      <c r="D691" s="2"/>
    </row>
    <row r="692" spans="4:4" x14ac:dyDescent="0.25">
      <c r="D692" s="2"/>
    </row>
    <row r="693" spans="4:4" x14ac:dyDescent="0.25">
      <c r="D693" s="2"/>
    </row>
    <row r="694" spans="4:4" x14ac:dyDescent="0.25">
      <c r="D694" s="2"/>
    </row>
    <row r="695" spans="4:4" x14ac:dyDescent="0.25">
      <c r="D695" s="2"/>
    </row>
    <row r="696" spans="4:4" x14ac:dyDescent="0.25">
      <c r="D696" s="2"/>
    </row>
    <row r="697" spans="4:4" x14ac:dyDescent="0.25">
      <c r="D697" s="2"/>
    </row>
    <row r="698" spans="4:4" x14ac:dyDescent="0.25">
      <c r="D698" s="2"/>
    </row>
    <row r="699" spans="4:4" x14ac:dyDescent="0.25">
      <c r="D699" s="2"/>
    </row>
    <row r="700" spans="4:4" x14ac:dyDescent="0.25">
      <c r="D700" s="2"/>
    </row>
    <row r="701" spans="4:4" x14ac:dyDescent="0.25">
      <c r="D701" s="2"/>
    </row>
    <row r="702" spans="4:4" x14ac:dyDescent="0.25">
      <c r="D702" s="2"/>
    </row>
    <row r="703" spans="4:4" x14ac:dyDescent="0.25">
      <c r="D703" s="2"/>
    </row>
    <row r="704" spans="4:4" x14ac:dyDescent="0.25">
      <c r="D704" s="2"/>
    </row>
    <row r="705" spans="4:4" x14ac:dyDescent="0.25">
      <c r="D705" s="2"/>
    </row>
    <row r="706" spans="4:4" x14ac:dyDescent="0.25">
      <c r="D706" s="2"/>
    </row>
    <row r="707" spans="4:4" x14ac:dyDescent="0.25">
      <c r="D707" s="2"/>
    </row>
    <row r="708" spans="4:4" x14ac:dyDescent="0.25">
      <c r="D708" s="2"/>
    </row>
    <row r="709" spans="4:4" x14ac:dyDescent="0.25">
      <c r="D709" s="2"/>
    </row>
    <row r="710" spans="4:4" x14ac:dyDescent="0.25">
      <c r="D710" s="2"/>
    </row>
    <row r="711" spans="4:4" x14ac:dyDescent="0.25">
      <c r="D711" s="2"/>
    </row>
    <row r="712" spans="4:4" x14ac:dyDescent="0.25">
      <c r="D712" s="2"/>
    </row>
    <row r="713" spans="4:4" x14ac:dyDescent="0.25">
      <c r="D713" s="2"/>
    </row>
    <row r="714" spans="4:4" x14ac:dyDescent="0.25">
      <c r="D714" s="2"/>
    </row>
    <row r="715" spans="4:4" x14ac:dyDescent="0.25">
      <c r="D715" s="2"/>
    </row>
    <row r="716" spans="4:4" x14ac:dyDescent="0.25">
      <c r="D716" s="2"/>
    </row>
    <row r="717" spans="4:4" x14ac:dyDescent="0.25">
      <c r="D717" s="2"/>
    </row>
    <row r="718" spans="4:4" x14ac:dyDescent="0.25">
      <c r="D718" s="2"/>
    </row>
    <row r="719" spans="4:4" x14ac:dyDescent="0.25">
      <c r="D719" s="2"/>
    </row>
    <row r="720" spans="4:4" x14ac:dyDescent="0.25">
      <c r="D720" s="2"/>
    </row>
    <row r="721" spans="4:4" x14ac:dyDescent="0.25">
      <c r="D721" s="2"/>
    </row>
    <row r="722" spans="4:4" x14ac:dyDescent="0.25">
      <c r="D722" s="2"/>
    </row>
    <row r="723" spans="4:4" x14ac:dyDescent="0.25">
      <c r="D723" s="2"/>
    </row>
    <row r="724" spans="4:4" x14ac:dyDescent="0.25">
      <c r="D724" s="2"/>
    </row>
    <row r="725" spans="4:4" x14ac:dyDescent="0.25">
      <c r="D725" s="2"/>
    </row>
    <row r="726" spans="4:4" x14ac:dyDescent="0.25">
      <c r="D726" s="2"/>
    </row>
    <row r="727" spans="4:4" x14ac:dyDescent="0.25">
      <c r="D727" s="2"/>
    </row>
    <row r="728" spans="4:4" x14ac:dyDescent="0.25">
      <c r="D728" s="2"/>
    </row>
    <row r="729" spans="4:4" x14ac:dyDescent="0.25">
      <c r="D729" s="2"/>
    </row>
    <row r="730" spans="4:4" x14ac:dyDescent="0.25">
      <c r="D730" s="2"/>
    </row>
    <row r="731" spans="4:4" x14ac:dyDescent="0.25">
      <c r="D731" s="2"/>
    </row>
    <row r="732" spans="4:4" x14ac:dyDescent="0.25">
      <c r="D732" s="2"/>
    </row>
    <row r="733" spans="4:4" x14ac:dyDescent="0.25">
      <c r="D733" s="2"/>
    </row>
    <row r="734" spans="4:4" x14ac:dyDescent="0.25">
      <c r="D734" s="2"/>
    </row>
    <row r="735" spans="4:4" x14ac:dyDescent="0.25">
      <c r="D735" s="2"/>
    </row>
    <row r="736" spans="4:4" x14ac:dyDescent="0.25">
      <c r="D736" s="2"/>
    </row>
    <row r="737" spans="4:4" x14ac:dyDescent="0.25">
      <c r="D737" s="2"/>
    </row>
    <row r="738" spans="4:4" x14ac:dyDescent="0.25">
      <c r="D738" s="2"/>
    </row>
    <row r="739" spans="4:4" x14ac:dyDescent="0.25">
      <c r="D739" s="2"/>
    </row>
    <row r="740" spans="4:4" x14ac:dyDescent="0.25">
      <c r="D740" s="2"/>
    </row>
    <row r="741" spans="4:4" x14ac:dyDescent="0.25">
      <c r="D741" s="2"/>
    </row>
    <row r="742" spans="4:4" x14ac:dyDescent="0.25">
      <c r="D742" s="2"/>
    </row>
    <row r="743" spans="4:4" x14ac:dyDescent="0.25">
      <c r="D743" s="2"/>
    </row>
    <row r="744" spans="4:4" x14ac:dyDescent="0.25">
      <c r="D744" s="2"/>
    </row>
    <row r="745" spans="4:4" x14ac:dyDescent="0.25">
      <c r="D745" s="2"/>
    </row>
    <row r="746" spans="4:4" x14ac:dyDescent="0.25">
      <c r="D746" s="2"/>
    </row>
    <row r="747" spans="4:4" x14ac:dyDescent="0.25">
      <c r="D747" s="2"/>
    </row>
    <row r="748" spans="4:4" x14ac:dyDescent="0.25">
      <c r="D748" s="2"/>
    </row>
    <row r="749" spans="4:4" x14ac:dyDescent="0.25">
      <c r="D749" s="2"/>
    </row>
    <row r="750" spans="4:4" x14ac:dyDescent="0.25">
      <c r="D750" s="2"/>
    </row>
    <row r="751" spans="4:4" x14ac:dyDescent="0.25">
      <c r="D751" s="2"/>
    </row>
    <row r="752" spans="4:4" x14ac:dyDescent="0.25">
      <c r="D752" s="2"/>
    </row>
    <row r="753" spans="4:4" x14ac:dyDescent="0.25">
      <c r="D753" s="2"/>
    </row>
    <row r="754" spans="4:4" x14ac:dyDescent="0.25">
      <c r="D754" s="2"/>
    </row>
    <row r="755" spans="4:4" x14ac:dyDescent="0.25">
      <c r="D755" s="2"/>
    </row>
    <row r="756" spans="4:4" x14ac:dyDescent="0.25">
      <c r="D756" s="2"/>
    </row>
    <row r="757" spans="4:4" x14ac:dyDescent="0.25">
      <c r="D757" s="2"/>
    </row>
    <row r="758" spans="4:4" x14ac:dyDescent="0.25">
      <c r="D758" s="2"/>
    </row>
    <row r="759" spans="4:4" x14ac:dyDescent="0.25">
      <c r="D759" s="2"/>
    </row>
    <row r="760" spans="4:4" x14ac:dyDescent="0.25">
      <c r="D760" s="2"/>
    </row>
    <row r="761" spans="4:4" x14ac:dyDescent="0.25">
      <c r="D761" s="2"/>
    </row>
    <row r="762" spans="4:4" x14ac:dyDescent="0.25">
      <c r="D762" s="2"/>
    </row>
    <row r="763" spans="4:4" x14ac:dyDescent="0.25">
      <c r="D763" s="2"/>
    </row>
    <row r="764" spans="4:4" x14ac:dyDescent="0.25">
      <c r="D764" s="2"/>
    </row>
    <row r="765" spans="4:4" x14ac:dyDescent="0.25">
      <c r="D765" s="2"/>
    </row>
    <row r="766" spans="4:4" x14ac:dyDescent="0.25">
      <c r="D766" s="2"/>
    </row>
    <row r="767" spans="4:4" x14ac:dyDescent="0.25">
      <c r="D767" s="2"/>
    </row>
    <row r="768" spans="4:4" x14ac:dyDescent="0.25">
      <c r="D768" s="2"/>
    </row>
    <row r="769" spans="4:4" x14ac:dyDescent="0.25">
      <c r="D769" s="2"/>
    </row>
    <row r="770" spans="4:4" x14ac:dyDescent="0.25">
      <c r="D770" s="2"/>
    </row>
    <row r="771" spans="4:4" x14ac:dyDescent="0.25">
      <c r="D771" s="2"/>
    </row>
    <row r="772" spans="4:4" x14ac:dyDescent="0.25">
      <c r="D772" s="2"/>
    </row>
    <row r="773" spans="4:4" x14ac:dyDescent="0.25">
      <c r="D773" s="2"/>
    </row>
    <row r="774" spans="4:4" x14ac:dyDescent="0.25">
      <c r="D774" s="2"/>
    </row>
    <row r="775" spans="4:4" x14ac:dyDescent="0.25">
      <c r="D775" s="2"/>
    </row>
    <row r="776" spans="4:4" x14ac:dyDescent="0.25">
      <c r="D776" s="2"/>
    </row>
    <row r="777" spans="4:4" x14ac:dyDescent="0.25">
      <c r="D777" s="2"/>
    </row>
    <row r="778" spans="4:4" x14ac:dyDescent="0.25">
      <c r="D778" s="2"/>
    </row>
    <row r="779" spans="4:4" x14ac:dyDescent="0.25">
      <c r="D779" s="2"/>
    </row>
    <row r="780" spans="4:4" x14ac:dyDescent="0.25">
      <c r="D780" s="2"/>
    </row>
    <row r="781" spans="4:4" x14ac:dyDescent="0.25">
      <c r="D781" s="2"/>
    </row>
    <row r="782" spans="4:4" x14ac:dyDescent="0.25">
      <c r="D782" s="2"/>
    </row>
    <row r="783" spans="4:4" x14ac:dyDescent="0.25">
      <c r="D783" s="2"/>
    </row>
    <row r="784" spans="4:4" x14ac:dyDescent="0.25">
      <c r="D784" s="2"/>
    </row>
    <row r="785" spans="4:4" x14ac:dyDescent="0.25">
      <c r="D785" s="2"/>
    </row>
    <row r="786" spans="4:4" x14ac:dyDescent="0.25">
      <c r="D786" s="2"/>
    </row>
    <row r="787" spans="4:4" x14ac:dyDescent="0.25">
      <c r="D787" s="2"/>
    </row>
    <row r="788" spans="4:4" x14ac:dyDescent="0.25">
      <c r="D788" s="2"/>
    </row>
    <row r="789" spans="4:4" x14ac:dyDescent="0.25">
      <c r="D789" s="2"/>
    </row>
    <row r="790" spans="4:4" x14ac:dyDescent="0.25">
      <c r="D790" s="2"/>
    </row>
    <row r="791" spans="4:4" x14ac:dyDescent="0.25">
      <c r="D791" s="2"/>
    </row>
    <row r="792" spans="4:4" x14ac:dyDescent="0.25">
      <c r="D792" s="2"/>
    </row>
    <row r="793" spans="4:4" x14ac:dyDescent="0.25">
      <c r="D793" s="2"/>
    </row>
    <row r="794" spans="4:4" x14ac:dyDescent="0.25">
      <c r="D794" s="2"/>
    </row>
    <row r="795" spans="4:4" x14ac:dyDescent="0.25">
      <c r="D795" s="2"/>
    </row>
    <row r="796" spans="4:4" x14ac:dyDescent="0.25">
      <c r="D796" s="2"/>
    </row>
    <row r="797" spans="4:4" x14ac:dyDescent="0.25">
      <c r="D797" s="2"/>
    </row>
    <row r="798" spans="4:4" x14ac:dyDescent="0.25">
      <c r="D798" s="2"/>
    </row>
    <row r="799" spans="4:4" x14ac:dyDescent="0.25">
      <c r="D799" s="2"/>
    </row>
    <row r="800" spans="4:4" x14ac:dyDescent="0.25">
      <c r="D800" s="2"/>
    </row>
    <row r="801" spans="4:4" x14ac:dyDescent="0.25">
      <c r="D801" s="2"/>
    </row>
    <row r="802" spans="4:4" x14ac:dyDescent="0.25">
      <c r="D802" s="2"/>
    </row>
    <row r="803" spans="4:4" x14ac:dyDescent="0.25">
      <c r="D803" s="2"/>
    </row>
    <row r="804" spans="4:4" x14ac:dyDescent="0.25">
      <c r="D804" s="2"/>
    </row>
    <row r="805" spans="4:4" x14ac:dyDescent="0.25">
      <c r="D805" s="2"/>
    </row>
    <row r="806" spans="4:4" x14ac:dyDescent="0.25">
      <c r="D806" s="2"/>
    </row>
    <row r="807" spans="4:4" x14ac:dyDescent="0.25">
      <c r="D807" s="2"/>
    </row>
    <row r="808" spans="4:4" x14ac:dyDescent="0.25">
      <c r="D808" s="2"/>
    </row>
    <row r="809" spans="4:4" x14ac:dyDescent="0.25">
      <c r="D809" s="2"/>
    </row>
    <row r="810" spans="4:4" x14ac:dyDescent="0.25">
      <c r="D810" s="2"/>
    </row>
    <row r="811" spans="4:4" x14ac:dyDescent="0.25">
      <c r="D811" s="2"/>
    </row>
    <row r="812" spans="4:4" x14ac:dyDescent="0.25">
      <c r="D812" s="2"/>
    </row>
    <row r="813" spans="4:4" x14ac:dyDescent="0.25">
      <c r="D813" s="2"/>
    </row>
    <row r="814" spans="4:4" x14ac:dyDescent="0.25">
      <c r="D814" s="2"/>
    </row>
    <row r="815" spans="4:4" x14ac:dyDescent="0.25">
      <c r="D815" s="2"/>
    </row>
    <row r="816" spans="4:4" x14ac:dyDescent="0.25">
      <c r="D816" s="2"/>
    </row>
    <row r="817" spans="4:4" x14ac:dyDescent="0.25">
      <c r="D817" s="2"/>
    </row>
    <row r="818" spans="4:4" x14ac:dyDescent="0.25">
      <c r="D818" s="2"/>
    </row>
    <row r="819" spans="4:4" x14ac:dyDescent="0.25">
      <c r="D819" s="2"/>
    </row>
    <row r="820" spans="4:4" x14ac:dyDescent="0.25">
      <c r="D820" s="2"/>
    </row>
    <row r="821" spans="4:4" x14ac:dyDescent="0.25">
      <c r="D821" s="2"/>
    </row>
    <row r="822" spans="4:4" x14ac:dyDescent="0.25">
      <c r="D822" s="2"/>
    </row>
    <row r="823" spans="4:4" x14ac:dyDescent="0.25">
      <c r="D823" s="2"/>
    </row>
    <row r="824" spans="4:4" x14ac:dyDescent="0.25">
      <c r="D824" s="2"/>
    </row>
    <row r="825" spans="4:4" x14ac:dyDescent="0.25">
      <c r="D825" s="2"/>
    </row>
    <row r="826" spans="4:4" x14ac:dyDescent="0.25">
      <c r="D826" s="2"/>
    </row>
    <row r="827" spans="4:4" x14ac:dyDescent="0.25">
      <c r="D827" s="2"/>
    </row>
    <row r="828" spans="4:4" x14ac:dyDescent="0.25">
      <c r="D828" s="2"/>
    </row>
    <row r="829" spans="4:4" x14ac:dyDescent="0.25">
      <c r="D829" s="2"/>
    </row>
    <row r="830" spans="4:4" x14ac:dyDescent="0.25">
      <c r="D830" s="2"/>
    </row>
    <row r="831" spans="4:4" x14ac:dyDescent="0.25">
      <c r="D831" s="2"/>
    </row>
    <row r="832" spans="4:4" x14ac:dyDescent="0.25">
      <c r="D832" s="2"/>
    </row>
    <row r="833" spans="4:4" x14ac:dyDescent="0.25">
      <c r="D833" s="2"/>
    </row>
    <row r="834" spans="4:4" x14ac:dyDescent="0.25">
      <c r="D834" s="2"/>
    </row>
    <row r="835" spans="4:4" x14ac:dyDescent="0.25">
      <c r="D835" s="2"/>
    </row>
    <row r="836" spans="4:4" x14ac:dyDescent="0.25">
      <c r="D836" s="2"/>
    </row>
    <row r="837" spans="4:4" x14ac:dyDescent="0.25">
      <c r="D837" s="2"/>
    </row>
    <row r="838" spans="4:4" x14ac:dyDescent="0.25">
      <c r="D838" s="2"/>
    </row>
    <row r="839" spans="4:4" x14ac:dyDescent="0.25">
      <c r="D839" s="2"/>
    </row>
    <row r="840" spans="4:4" x14ac:dyDescent="0.25">
      <c r="D840" s="2"/>
    </row>
    <row r="841" spans="4:4" x14ac:dyDescent="0.25">
      <c r="D841" s="2"/>
    </row>
    <row r="842" spans="4:4" x14ac:dyDescent="0.25">
      <c r="D842" s="2"/>
    </row>
    <row r="843" spans="4:4" x14ac:dyDescent="0.25">
      <c r="D843" s="2"/>
    </row>
    <row r="844" spans="4:4" x14ac:dyDescent="0.25">
      <c r="D844" s="2"/>
    </row>
    <row r="845" spans="4:4" x14ac:dyDescent="0.25">
      <c r="D845" s="2"/>
    </row>
    <row r="846" spans="4:4" x14ac:dyDescent="0.25">
      <c r="D846" s="2"/>
    </row>
    <row r="847" spans="4:4" x14ac:dyDescent="0.25">
      <c r="D847" s="2"/>
    </row>
    <row r="848" spans="4:4" x14ac:dyDescent="0.25">
      <c r="D848" s="2"/>
    </row>
    <row r="849" spans="4:4" x14ac:dyDescent="0.25">
      <c r="D849" s="2"/>
    </row>
    <row r="850" spans="4:4" x14ac:dyDescent="0.25">
      <c r="D850" s="2"/>
    </row>
    <row r="851" spans="4:4" x14ac:dyDescent="0.25">
      <c r="D851" s="2"/>
    </row>
    <row r="852" spans="4:4" x14ac:dyDescent="0.25">
      <c r="D852" s="2"/>
    </row>
    <row r="853" spans="4:4" x14ac:dyDescent="0.25">
      <c r="D853" s="2"/>
    </row>
    <row r="854" spans="4:4" x14ac:dyDescent="0.25">
      <c r="D854" s="2"/>
    </row>
    <row r="855" spans="4:4" x14ac:dyDescent="0.25">
      <c r="D855" s="2"/>
    </row>
    <row r="856" spans="4:4" x14ac:dyDescent="0.25">
      <c r="D856" s="2"/>
    </row>
    <row r="857" spans="4:4" x14ac:dyDescent="0.25">
      <c r="D857" s="2"/>
    </row>
    <row r="858" spans="4:4" x14ac:dyDescent="0.25">
      <c r="D858" s="2"/>
    </row>
    <row r="859" spans="4:4" x14ac:dyDescent="0.25">
      <c r="D859" s="2"/>
    </row>
    <row r="860" spans="4:4" x14ac:dyDescent="0.25">
      <c r="D860" s="2"/>
    </row>
    <row r="861" spans="4:4" x14ac:dyDescent="0.25">
      <c r="D861" s="2"/>
    </row>
    <row r="862" spans="4:4" x14ac:dyDescent="0.25">
      <c r="D862" s="2"/>
    </row>
    <row r="863" spans="4:4" x14ac:dyDescent="0.25">
      <c r="D863" s="2"/>
    </row>
    <row r="864" spans="4:4" x14ac:dyDescent="0.25">
      <c r="D864" s="2"/>
    </row>
    <row r="865" spans="4:4" x14ac:dyDescent="0.25">
      <c r="D865" s="2"/>
    </row>
    <row r="866" spans="4:4" x14ac:dyDescent="0.25">
      <c r="D866" s="2"/>
    </row>
    <row r="867" spans="4:4" x14ac:dyDescent="0.25">
      <c r="D867" s="2"/>
    </row>
    <row r="868" spans="4:4" x14ac:dyDescent="0.25">
      <c r="D868" s="2"/>
    </row>
    <row r="869" spans="4:4" x14ac:dyDescent="0.25">
      <c r="D869" s="2"/>
    </row>
    <row r="870" spans="4:4" x14ac:dyDescent="0.25">
      <c r="D870" s="2"/>
    </row>
    <row r="871" spans="4:4" x14ac:dyDescent="0.25">
      <c r="D871" s="2"/>
    </row>
    <row r="872" spans="4:4" x14ac:dyDescent="0.25">
      <c r="D872" s="2"/>
    </row>
    <row r="873" spans="4:4" x14ac:dyDescent="0.25">
      <c r="D873" s="2"/>
    </row>
    <row r="874" spans="4:4" x14ac:dyDescent="0.25">
      <c r="D874" s="2"/>
    </row>
    <row r="875" spans="4:4" x14ac:dyDescent="0.25">
      <c r="D875" s="2"/>
    </row>
    <row r="876" spans="4:4" x14ac:dyDescent="0.25">
      <c r="D876" s="2"/>
    </row>
    <row r="877" spans="4:4" x14ac:dyDescent="0.25">
      <c r="D877" s="2"/>
    </row>
    <row r="878" spans="4:4" x14ac:dyDescent="0.25">
      <c r="D878" s="2"/>
    </row>
    <row r="879" spans="4:4" x14ac:dyDescent="0.25">
      <c r="D879" s="2"/>
    </row>
    <row r="880" spans="4:4" x14ac:dyDescent="0.25">
      <c r="D880" s="2"/>
    </row>
    <row r="881" spans="4:4" x14ac:dyDescent="0.25">
      <c r="D881" s="2"/>
    </row>
    <row r="882" spans="4:4" x14ac:dyDescent="0.25">
      <c r="D882" s="2"/>
    </row>
    <row r="883" spans="4:4" x14ac:dyDescent="0.25">
      <c r="D883" s="2"/>
    </row>
    <row r="884" spans="4:4" x14ac:dyDescent="0.25">
      <c r="D884" s="2"/>
    </row>
    <row r="885" spans="4:4" x14ac:dyDescent="0.25">
      <c r="D885" s="2"/>
    </row>
    <row r="886" spans="4:4" x14ac:dyDescent="0.25">
      <c r="D886" s="2"/>
    </row>
    <row r="887" spans="4:4" x14ac:dyDescent="0.25">
      <c r="D887" s="2"/>
    </row>
    <row r="888" spans="4:4" x14ac:dyDescent="0.25">
      <c r="D888" s="2"/>
    </row>
    <row r="889" spans="4:4" x14ac:dyDescent="0.25">
      <c r="D889" s="2"/>
    </row>
    <row r="890" spans="4:4" x14ac:dyDescent="0.25">
      <c r="D890" s="2"/>
    </row>
    <row r="891" spans="4:4" x14ac:dyDescent="0.25">
      <c r="D891" s="2"/>
    </row>
    <row r="892" spans="4:4" x14ac:dyDescent="0.25">
      <c r="D892" s="2"/>
    </row>
    <row r="893" spans="4:4" x14ac:dyDescent="0.25">
      <c r="D893" s="2"/>
    </row>
    <row r="894" spans="4:4" x14ac:dyDescent="0.25">
      <c r="D894" s="2"/>
    </row>
    <row r="895" spans="4:4" x14ac:dyDescent="0.25">
      <c r="D895" s="2"/>
    </row>
    <row r="896" spans="4:4" x14ac:dyDescent="0.25">
      <c r="D896" s="2"/>
    </row>
    <row r="897" spans="4:4" x14ac:dyDescent="0.25">
      <c r="D897" s="2"/>
    </row>
    <row r="898" spans="4:4" x14ac:dyDescent="0.25">
      <c r="D898" s="2"/>
    </row>
    <row r="899" spans="4:4" x14ac:dyDescent="0.25">
      <c r="D899" s="2"/>
    </row>
    <row r="900" spans="4:4" x14ac:dyDescent="0.25">
      <c r="D900" s="2"/>
    </row>
    <row r="901" spans="4:4" x14ac:dyDescent="0.25">
      <c r="D901" s="2"/>
    </row>
    <row r="902" spans="4:4" x14ac:dyDescent="0.25">
      <c r="D902" s="2"/>
    </row>
    <row r="903" spans="4:4" x14ac:dyDescent="0.25">
      <c r="D903" s="2"/>
    </row>
    <row r="904" spans="4:4" x14ac:dyDescent="0.25">
      <c r="D904" s="2"/>
    </row>
    <row r="905" spans="4:4" x14ac:dyDescent="0.25">
      <c r="D905" s="2"/>
    </row>
    <row r="906" spans="4:4" x14ac:dyDescent="0.25">
      <c r="D906" s="2"/>
    </row>
    <row r="907" spans="4:4" x14ac:dyDescent="0.25">
      <c r="D907" s="2"/>
    </row>
    <row r="908" spans="4:4" x14ac:dyDescent="0.25">
      <c r="D908" s="2"/>
    </row>
    <row r="909" spans="4:4" x14ac:dyDescent="0.25">
      <c r="D909" s="2"/>
    </row>
    <row r="910" spans="4:4" x14ac:dyDescent="0.25">
      <c r="D910" s="2"/>
    </row>
    <row r="911" spans="4:4" x14ac:dyDescent="0.25">
      <c r="D911" s="2"/>
    </row>
    <row r="912" spans="4:4" x14ac:dyDescent="0.25">
      <c r="D912" s="2"/>
    </row>
    <row r="913" spans="4:4" x14ac:dyDescent="0.25">
      <c r="D913" s="2"/>
    </row>
    <row r="914" spans="4:4" x14ac:dyDescent="0.25">
      <c r="D914" s="2"/>
    </row>
    <row r="915" spans="4:4" x14ac:dyDescent="0.25">
      <c r="D915" s="2"/>
    </row>
    <row r="916" spans="4:4" x14ac:dyDescent="0.25">
      <c r="D916" s="2"/>
    </row>
    <row r="917" spans="4:4" x14ac:dyDescent="0.25">
      <c r="D917" s="2"/>
    </row>
    <row r="918" spans="4:4" x14ac:dyDescent="0.25">
      <c r="D918" s="2"/>
    </row>
    <row r="919" spans="4:4" x14ac:dyDescent="0.25">
      <c r="D919" s="2"/>
    </row>
    <row r="920" spans="4:4" x14ac:dyDescent="0.25">
      <c r="D920" s="2"/>
    </row>
    <row r="921" spans="4:4" x14ac:dyDescent="0.25">
      <c r="D921" s="2"/>
    </row>
    <row r="922" spans="4:4" x14ac:dyDescent="0.25">
      <c r="D922" s="2"/>
    </row>
    <row r="923" spans="4:4" x14ac:dyDescent="0.25">
      <c r="D923" s="2"/>
    </row>
    <row r="924" spans="4:4" x14ac:dyDescent="0.25">
      <c r="D924" s="2"/>
    </row>
    <row r="925" spans="4:4" x14ac:dyDescent="0.25">
      <c r="D925" s="2"/>
    </row>
    <row r="926" spans="4:4" x14ac:dyDescent="0.25">
      <c r="D926" s="2"/>
    </row>
    <row r="927" spans="4:4" x14ac:dyDescent="0.25">
      <c r="D927" s="2"/>
    </row>
    <row r="928" spans="4:4" x14ac:dyDescent="0.25">
      <c r="D928" s="2"/>
    </row>
    <row r="929" spans="4:4" x14ac:dyDescent="0.25">
      <c r="D929" s="2"/>
    </row>
    <row r="930" spans="4:4" x14ac:dyDescent="0.25">
      <c r="D930" s="2"/>
    </row>
    <row r="931" spans="4:4" x14ac:dyDescent="0.25">
      <c r="D931" s="2"/>
    </row>
    <row r="932" spans="4:4" x14ac:dyDescent="0.25">
      <c r="D932" s="2"/>
    </row>
    <row r="933" spans="4:4" x14ac:dyDescent="0.25">
      <c r="D933" s="2"/>
    </row>
    <row r="934" spans="4:4" x14ac:dyDescent="0.25">
      <c r="D934" s="2"/>
    </row>
    <row r="935" spans="4:4" x14ac:dyDescent="0.25">
      <c r="D935" s="2"/>
    </row>
    <row r="936" spans="4:4" x14ac:dyDescent="0.25">
      <c r="D936" s="2"/>
    </row>
    <row r="937" spans="4:4" x14ac:dyDescent="0.25">
      <c r="D937" s="2"/>
    </row>
    <row r="938" spans="4:4" x14ac:dyDescent="0.25">
      <c r="D938" s="2"/>
    </row>
    <row r="939" spans="4:4" x14ac:dyDescent="0.25">
      <c r="D939" s="2"/>
    </row>
    <row r="940" spans="4:4" x14ac:dyDescent="0.25">
      <c r="D940" s="2"/>
    </row>
    <row r="941" spans="4:4" x14ac:dyDescent="0.25">
      <c r="D941" s="2"/>
    </row>
    <row r="942" spans="4:4" x14ac:dyDescent="0.25">
      <c r="D942" s="2"/>
    </row>
    <row r="943" spans="4:4" x14ac:dyDescent="0.25">
      <c r="D943" s="2"/>
    </row>
    <row r="944" spans="4:4" x14ac:dyDescent="0.25">
      <c r="D944" s="2"/>
    </row>
    <row r="945" spans="4:4" x14ac:dyDescent="0.25">
      <c r="D945" s="2"/>
    </row>
    <row r="946" spans="4:4" x14ac:dyDescent="0.25">
      <c r="D946" s="2"/>
    </row>
    <row r="947" spans="4:4" x14ac:dyDescent="0.25">
      <c r="D947" s="2"/>
    </row>
    <row r="948" spans="4:4" x14ac:dyDescent="0.25">
      <c r="D948" s="2"/>
    </row>
    <row r="949" spans="4:4" x14ac:dyDescent="0.25">
      <c r="D949" s="2"/>
    </row>
    <row r="950" spans="4:4" x14ac:dyDescent="0.25">
      <c r="D950" s="2"/>
    </row>
    <row r="951" spans="4:4" x14ac:dyDescent="0.25">
      <c r="D951" s="2"/>
    </row>
    <row r="952" spans="4:4" x14ac:dyDescent="0.25">
      <c r="D952" s="2"/>
    </row>
    <row r="953" spans="4:4" x14ac:dyDescent="0.25">
      <c r="D953" s="2"/>
    </row>
    <row r="954" spans="4:4" x14ac:dyDescent="0.25">
      <c r="D954" s="2"/>
    </row>
    <row r="955" spans="4:4" x14ac:dyDescent="0.25">
      <c r="D955" s="2"/>
    </row>
    <row r="956" spans="4:4" x14ac:dyDescent="0.25">
      <c r="D956" s="2"/>
    </row>
    <row r="957" spans="4:4" x14ac:dyDescent="0.25">
      <c r="D957" s="2"/>
    </row>
    <row r="958" spans="4:4" x14ac:dyDescent="0.25">
      <c r="D958" s="2"/>
    </row>
    <row r="959" spans="4:4" x14ac:dyDescent="0.25">
      <c r="D959" s="2"/>
    </row>
    <row r="960" spans="4:4" x14ac:dyDescent="0.25">
      <c r="D960" s="2"/>
    </row>
    <row r="961" spans="4:4" x14ac:dyDescent="0.25">
      <c r="D961" s="2"/>
    </row>
    <row r="962" spans="4:4" x14ac:dyDescent="0.25">
      <c r="D962" s="2"/>
    </row>
    <row r="963" spans="4:4" x14ac:dyDescent="0.25">
      <c r="D963" s="2"/>
    </row>
    <row r="964" spans="4:4" x14ac:dyDescent="0.25">
      <c r="D964" s="2"/>
    </row>
    <row r="965" spans="4:4" x14ac:dyDescent="0.25">
      <c r="D965" s="2"/>
    </row>
    <row r="966" spans="4:4" x14ac:dyDescent="0.25">
      <c r="D966" s="2"/>
    </row>
    <row r="967" spans="4:4" x14ac:dyDescent="0.25">
      <c r="D967" s="2"/>
    </row>
    <row r="968" spans="4:4" x14ac:dyDescent="0.25">
      <c r="D968" s="2"/>
    </row>
    <row r="969" spans="4:4" x14ac:dyDescent="0.25">
      <c r="D969" s="2"/>
    </row>
    <row r="970" spans="4:4" x14ac:dyDescent="0.25">
      <c r="D970" s="2"/>
    </row>
    <row r="971" spans="4:4" x14ac:dyDescent="0.25">
      <c r="D971" s="2"/>
    </row>
    <row r="972" spans="4:4" x14ac:dyDescent="0.25">
      <c r="D972" s="2"/>
    </row>
    <row r="973" spans="4:4" x14ac:dyDescent="0.25">
      <c r="D973" s="2"/>
    </row>
    <row r="974" spans="4:4" x14ac:dyDescent="0.25">
      <c r="D974" s="2"/>
    </row>
    <row r="975" spans="4:4" x14ac:dyDescent="0.25">
      <c r="D975" s="2"/>
    </row>
    <row r="976" spans="4:4" x14ac:dyDescent="0.25">
      <c r="D976" s="2"/>
    </row>
    <row r="977" spans="4:4" x14ac:dyDescent="0.25">
      <c r="D977" s="2"/>
    </row>
    <row r="978" spans="4:4" x14ac:dyDescent="0.25">
      <c r="D978" s="2"/>
    </row>
    <row r="979" spans="4:4" x14ac:dyDescent="0.25">
      <c r="D979" s="2"/>
    </row>
    <row r="980" spans="4:4" x14ac:dyDescent="0.25">
      <c r="D980" s="2"/>
    </row>
    <row r="981" spans="4:4" x14ac:dyDescent="0.25">
      <c r="D981" s="2"/>
    </row>
    <row r="982" spans="4:4" x14ac:dyDescent="0.25">
      <c r="D982" s="2"/>
    </row>
    <row r="983" spans="4:4" x14ac:dyDescent="0.25">
      <c r="D983" s="2"/>
    </row>
    <row r="984" spans="4:4" x14ac:dyDescent="0.25">
      <c r="D984" s="2"/>
    </row>
    <row r="985" spans="4:4" x14ac:dyDescent="0.25">
      <c r="D985" s="2"/>
    </row>
    <row r="986" spans="4:4" x14ac:dyDescent="0.25">
      <c r="D986" s="2"/>
    </row>
    <row r="987" spans="4:4" x14ac:dyDescent="0.25">
      <c r="D987" s="2"/>
    </row>
    <row r="988" spans="4:4" x14ac:dyDescent="0.25">
      <c r="D988" s="2"/>
    </row>
    <row r="989" spans="4:4" x14ac:dyDescent="0.25">
      <c r="D989" s="2"/>
    </row>
    <row r="990" spans="4:4" x14ac:dyDescent="0.25">
      <c r="D990" s="2"/>
    </row>
    <row r="991" spans="4:4" x14ac:dyDescent="0.25">
      <c r="D991" s="2"/>
    </row>
    <row r="992" spans="4:4" x14ac:dyDescent="0.25">
      <c r="D992" s="2"/>
    </row>
    <row r="993" spans="4:4" x14ac:dyDescent="0.25">
      <c r="D993" s="2"/>
    </row>
    <row r="994" spans="4:4" x14ac:dyDescent="0.25">
      <c r="D994" s="2"/>
    </row>
    <row r="995" spans="4:4" x14ac:dyDescent="0.25">
      <c r="D995" s="2"/>
    </row>
    <row r="996" spans="4:4" x14ac:dyDescent="0.25">
      <c r="D996" s="2"/>
    </row>
    <row r="997" spans="4:4" x14ac:dyDescent="0.25">
      <c r="D997" s="2"/>
    </row>
    <row r="998" spans="4:4" x14ac:dyDescent="0.25">
      <c r="D998" s="2"/>
    </row>
    <row r="999" spans="4:4" x14ac:dyDescent="0.25">
      <c r="D999" s="2"/>
    </row>
    <row r="1000" spans="4:4" x14ac:dyDescent="0.25">
      <c r="D1000" s="2"/>
    </row>
    <row r="1001" spans="4:4" x14ac:dyDescent="0.25">
      <c r="D1001" s="2"/>
    </row>
    <row r="1002" spans="4:4" x14ac:dyDescent="0.25">
      <c r="D1002" s="2"/>
    </row>
    <row r="1003" spans="4:4" x14ac:dyDescent="0.25">
      <c r="D1003" s="2"/>
    </row>
    <row r="1004" spans="4:4" x14ac:dyDescent="0.25">
      <c r="D1004" s="2"/>
    </row>
    <row r="1005" spans="4:4" x14ac:dyDescent="0.25">
      <c r="D1005" s="2"/>
    </row>
    <row r="1006" spans="4:4" x14ac:dyDescent="0.25">
      <c r="D1006" s="2"/>
    </row>
    <row r="1007" spans="4:4" x14ac:dyDescent="0.25">
      <c r="D1007" s="2"/>
    </row>
    <row r="1008" spans="4:4" x14ac:dyDescent="0.25">
      <c r="D1008" s="2"/>
    </row>
    <row r="1009" spans="4:4" x14ac:dyDescent="0.25">
      <c r="D1009" s="2"/>
    </row>
    <row r="1010" spans="4:4" x14ac:dyDescent="0.25">
      <c r="D1010" s="2"/>
    </row>
    <row r="1011" spans="4:4" x14ac:dyDescent="0.25">
      <c r="D1011" s="2"/>
    </row>
    <row r="1012" spans="4:4" x14ac:dyDescent="0.25">
      <c r="D1012" s="2"/>
    </row>
    <row r="1013" spans="4:4" x14ac:dyDescent="0.25">
      <c r="D1013" s="2"/>
    </row>
    <row r="1014" spans="4:4" x14ac:dyDescent="0.25">
      <c r="D1014" s="2"/>
    </row>
    <row r="1015" spans="4:4" x14ac:dyDescent="0.25">
      <c r="D1015" s="2"/>
    </row>
    <row r="1016" spans="4:4" x14ac:dyDescent="0.25">
      <c r="D1016" s="2"/>
    </row>
    <row r="1017" spans="4:4" x14ac:dyDescent="0.25">
      <c r="D1017" s="2"/>
    </row>
    <row r="1018" spans="4:4" x14ac:dyDescent="0.25">
      <c r="D1018" s="2"/>
    </row>
    <row r="1019" spans="4:4" x14ac:dyDescent="0.25">
      <c r="D1019" s="2"/>
    </row>
    <row r="1020" spans="4:4" x14ac:dyDescent="0.25">
      <c r="D1020" s="2"/>
    </row>
    <row r="1021" spans="4:4" x14ac:dyDescent="0.25">
      <c r="D1021" s="2"/>
    </row>
    <row r="1022" spans="4:4" x14ac:dyDescent="0.25">
      <c r="D1022" s="2"/>
    </row>
    <row r="1023" spans="4:4" x14ac:dyDescent="0.25">
      <c r="D1023" s="2"/>
    </row>
    <row r="1024" spans="4:4" x14ac:dyDescent="0.25">
      <c r="D1024" s="2"/>
    </row>
    <row r="1025" spans="4:4" x14ac:dyDescent="0.25">
      <c r="D1025" s="2"/>
    </row>
    <row r="1026" spans="4:4" x14ac:dyDescent="0.25">
      <c r="D1026" s="2"/>
    </row>
    <row r="1027" spans="4:4" x14ac:dyDescent="0.25">
      <c r="D1027" s="2"/>
    </row>
    <row r="1028" spans="4:4" x14ac:dyDescent="0.25">
      <c r="D1028" s="2"/>
    </row>
    <row r="1029" spans="4:4" x14ac:dyDescent="0.25">
      <c r="D1029" s="2"/>
    </row>
    <row r="1030" spans="4:4" x14ac:dyDescent="0.25">
      <c r="D1030" s="2"/>
    </row>
    <row r="1031" spans="4:4" x14ac:dyDescent="0.25">
      <c r="D1031" s="2"/>
    </row>
    <row r="1032" spans="4:4" x14ac:dyDescent="0.25">
      <c r="D1032" s="2"/>
    </row>
    <row r="1033" spans="4:4" x14ac:dyDescent="0.25">
      <c r="D1033" s="2"/>
    </row>
    <row r="1034" spans="4:4" x14ac:dyDescent="0.25">
      <c r="D1034" s="2"/>
    </row>
    <row r="1035" spans="4:4" x14ac:dyDescent="0.25">
      <c r="D1035" s="2"/>
    </row>
    <row r="1036" spans="4:4" x14ac:dyDescent="0.25">
      <c r="D1036" s="2"/>
    </row>
    <row r="1037" spans="4:4" x14ac:dyDescent="0.25">
      <c r="D1037" s="2"/>
    </row>
    <row r="1038" spans="4:4" x14ac:dyDescent="0.25">
      <c r="D1038" s="2"/>
    </row>
    <row r="1039" spans="4:4" x14ac:dyDescent="0.25">
      <c r="D1039" s="2"/>
    </row>
    <row r="1040" spans="4:4" x14ac:dyDescent="0.25">
      <c r="D1040" s="2"/>
    </row>
    <row r="1041" spans="4:4" x14ac:dyDescent="0.25">
      <c r="D1041" s="2"/>
    </row>
    <row r="1042" spans="4:4" x14ac:dyDescent="0.25">
      <c r="D1042" s="2"/>
    </row>
    <row r="1043" spans="4:4" x14ac:dyDescent="0.25">
      <c r="D1043" s="2"/>
    </row>
    <row r="1044" spans="4:4" x14ac:dyDescent="0.25">
      <c r="D1044" s="2"/>
    </row>
    <row r="1045" spans="4:4" x14ac:dyDescent="0.25">
      <c r="D1045" s="2"/>
    </row>
    <row r="1046" spans="4:4" x14ac:dyDescent="0.25">
      <c r="D1046" s="2"/>
    </row>
    <row r="1047" spans="4:4" x14ac:dyDescent="0.25">
      <c r="D1047" s="2"/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3075" r:id="rId4" name="ScrollBar2">
          <controlPr defaultSize="0" autoLine="0" linkedCell="A37" r:id="rId5">
            <anchor moveWithCells="1">
              <from>
                <xdr:col>9</xdr:col>
                <xdr:colOff>104775</xdr:colOff>
                <xdr:row>8</xdr:row>
                <xdr:rowOff>114300</xdr:rowOff>
              </from>
              <to>
                <xdr:col>9</xdr:col>
                <xdr:colOff>1152525</xdr:colOff>
                <xdr:row>8</xdr:row>
                <xdr:rowOff>257175</xdr:rowOff>
              </to>
            </anchor>
          </controlPr>
        </control>
      </mc:Choice>
      <mc:Fallback>
        <control shapeId="3075" r:id="rId4" name="ScrollBar2"/>
      </mc:Fallback>
    </mc:AlternateContent>
    <mc:AlternateContent xmlns:mc="http://schemas.openxmlformats.org/markup-compatibility/2006">
      <mc:Choice Requires="x14">
        <control shapeId="3074" r:id="rId6" name="ScrollBar1">
          <controlPr defaultSize="0" autoLine="0" linkedCell="J35" r:id="rId7">
            <anchor moveWithCells="1">
              <from>
                <xdr:col>9</xdr:col>
                <xdr:colOff>57150</xdr:colOff>
                <xdr:row>19</xdr:row>
                <xdr:rowOff>114300</xdr:rowOff>
              </from>
              <to>
                <xdr:col>10</xdr:col>
                <xdr:colOff>447675</xdr:colOff>
                <xdr:row>20</xdr:row>
                <xdr:rowOff>57150</xdr:rowOff>
              </to>
            </anchor>
          </controlPr>
        </control>
      </mc:Choice>
      <mc:Fallback>
        <control shapeId="3074" r:id="rId6" name="ScrollBa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B10"/>
  <sheetViews>
    <sheetView workbookViewId="0">
      <selection activeCell="E15" sqref="E15"/>
    </sheetView>
  </sheetViews>
  <sheetFormatPr defaultRowHeight="15" x14ac:dyDescent="0.25"/>
  <cols>
    <col min="1" max="1" width="3.5703125" style="14" customWidth="1"/>
    <col min="2" max="16384" width="9.140625" style="14"/>
  </cols>
  <sheetData>
    <row r="5" spans="1:2" s="17" customFormat="1" x14ac:dyDescent="0.25">
      <c r="A5" s="14"/>
      <c r="B5" s="18" t="s">
        <v>28</v>
      </c>
    </row>
    <row r="6" spans="1:2" s="15" customFormat="1" x14ac:dyDescent="0.25">
      <c r="A6" s="14"/>
      <c r="B6" s="19" t="s">
        <v>29</v>
      </c>
    </row>
    <row r="7" spans="1:2" s="15" customFormat="1" x14ac:dyDescent="0.25">
      <c r="A7" s="14"/>
      <c r="B7" s="19" t="s">
        <v>30</v>
      </c>
    </row>
    <row r="8" spans="1:2" s="15" customFormat="1" x14ac:dyDescent="0.25">
      <c r="A8" s="14"/>
      <c r="B8" s="19" t="s">
        <v>31</v>
      </c>
    </row>
    <row r="9" spans="1:2" s="15" customFormat="1" x14ac:dyDescent="0.25">
      <c r="A9" s="14"/>
      <c r="B9" s="19" t="s">
        <v>32</v>
      </c>
    </row>
    <row r="10" spans="1:2" s="16" customFormat="1" x14ac:dyDescent="0.25">
      <c r="A10" s="14"/>
      <c r="B10" s="20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S55"/>
  <sheetViews>
    <sheetView workbookViewId="0">
      <selection activeCell="P5" sqref="P5"/>
    </sheetView>
  </sheetViews>
  <sheetFormatPr defaultRowHeight="15" x14ac:dyDescent="0.25"/>
  <sheetData>
    <row r="3" spans="2:19" x14ac:dyDescent="0.25">
      <c r="C3" t="s">
        <v>33</v>
      </c>
      <c r="I3" t="s">
        <v>34</v>
      </c>
    </row>
    <row r="5" spans="2:19" x14ac:dyDescent="0.25">
      <c r="B5" s="1"/>
      <c r="C5" s="1" t="s">
        <v>4</v>
      </c>
      <c r="D5" s="1" t="s">
        <v>5</v>
      </c>
      <c r="E5" s="1"/>
      <c r="I5" t="s">
        <v>4</v>
      </c>
      <c r="J5" t="s">
        <v>5</v>
      </c>
      <c r="K5" t="s">
        <v>6</v>
      </c>
      <c r="L5" s="1"/>
      <c r="M5" s="1"/>
      <c r="O5" s="21">
        <v>-600</v>
      </c>
      <c r="P5" s="26">
        <v>0</v>
      </c>
      <c r="Q5" s="26">
        <f t="array" ref="Q5:Q55">FREQUENCY(Dst('Project Model - DIST'!$K$11),O5:O55)/1000</f>
        <v>4.0000000000000001E-3</v>
      </c>
      <c r="R5" s="21">
        <f>(O55-O5)/100*'Project Model'!J35+'Graph Data'!O5</f>
        <v>80</v>
      </c>
      <c r="S5" s="21">
        <v>0</v>
      </c>
    </row>
    <row r="6" spans="2:19" x14ac:dyDescent="0.25">
      <c r="B6" s="1"/>
      <c r="C6" s="1" t="str">
        <f>'Project Model - DIST'!K11</f>
        <v>&lt;dist name="=C10-G11-I11" avg="-1.71071581E+000" min="-6.46660414E+002" max="4.07067629E+002" count="1000" type="Double" ver="1.1"&gt;nuVABZ3QwVaQnbQ9zki8xmcM///Bk1w/x8yGikCp7uu3u9kJup/XBc54mKQ+wb0YPzh6FWJhiCxTCqxFz6FXyMg/ZrvnZDdz0x6s9zzZVx6/APQI0x7oF10n1p3EwbV32al0r5rvpotnDMrAmTckjKRwmbmvrLddxInijdmsxmbBw8xsF/nWqtuRUXvSW4sYOXbIpJy9vkjKcT7pydZ4UZ33xB5LFFnOS0VKcqk0zMHO+sPN4PJuIWtGxSKQcNECsA+Jc4KYa/pUdaT0b+vSK0CpVeCx44GBi1U4XIyZtgdfGlqplPad73x+v0zA5DIDwpTHzMedc7av2a56nbhq1567xZO+XHmQhxrijYkbwESojba5fSu3sXl1XqS9c5m5xDLUUM9/aWScLoOmuqanONLKdxKPNJlSiir0P5OOxldu9qAdRMDbqUrEg6bBw2xSwPGRXakz3BopwXy92iieVWKzfRGZAW6FdH+EQ559toaViM+IrJGZplJ+xfupeaCyz9TDPr33wn1SYblJhWi0Lqw+V+fzFNmOnWWrT34sqoTYUNo4WOcvqc0Wr0R2wd1mwptgratPuerfaI2Vwe3Nm7nqvsZvETENcYNuhdB1psFwecSDyRNjjvQCrzGy7bvvhzScf4473GtexrWR2ktQDo3nvrGLCKdXNL2APqF2H/Om5nx4qdFABaxCzMGsK8mU4cC4z2fx25OxGFm1s3k3nnRybdC5hYXzPuSfmcxzhD+WqZfblWiyS13Q3h7RAn/DwhWwTM71jIvPoeZDyJva2mH8lyXakJYZa0ZjLpx625PRdfCJv7zXQFxzdCq8QVXh0/9aiI/9vDxoTJ/4peR3pOUaZElYjGhMsaTFyD9j18WhlJnNzv1wk+KQjoxlw9EDlkSZHT+KR1WZ2730pnRHm57n6TvCP6jhykdAWFRosoggnxilwyAAANhnCRXNpcf4z3++RYMXo+Olg8tKy0qLJ0vGjaiDyZJVhiWsnWEcdR6tc1RoyG8vqaA7roWBL9T9a5hMj7uLcdPjN7rHnJ/U0dAO6s83c4WHdGmLCH/q2IVa9dYr10CU4P6DCY25sspvUnF1g7V1vfepM76puAKQtYv4XS+oJYcadYMzlXeqxchiQ8YS4ijVOpdqa5jSs5qSxHg985qSqgxzineP68ZDbc32zMG82IKr4HWM4ngHLMN5c4LcgdJxA7LtlU+TX6iNZCwn7ZbIpMGj7ECpTJ7V+s2tnizQgVnOUz1P6LbXzJHNfqC5bi49UUfo0XW60LvviH1yxjmsTVGmyMfMzUmeAkV79Z6wtG+bv1HVh6sJuJSmHXxMns6Uuq6yilOc+sMJtoYca2h3nJyulYLpkRCo45tplOC0LlZQ2zrMHr7ojomomocVZmWm+m3p4q+oxJSI0A5j0r6yYpThnI3nXp+1QFytxLewnY/vv26wTKN3p4md25URi1m2hsesxD3pcXeeCMav2nVcu+zNg8qomXKK7Xwndt+xqaiNfeCi2aufdTRyxpZymuTMVbqXupdWXXQq17VDv5AIOIiIp8BPRthis5waedTHe3Xwv7/FdmaChn21d8Hl0kfGa2RJxjbDtam0jWGXmRxQsiG1Uccqc76C3GNYut10f7rotOCrqrhUZFaZVbdrr2t4dcUHUEefKVsAsT2+nYThtqm2A9V1XdDEZcNuvQrT/8PNraDGobIhSkthHGh3n4qzDL1shorTbNShtC7aKKRwl+pSYdaZpeS9o7cwdW+1kOScI8OQ7bpULKeSONMe1NGJObQRVbq9xMmU4j+x+pjPvNhjWNVE56Vrb57Ou5t+AoDqwhWQnZdqn1qWqbzQ4Zwuj4asvDy/F0Z8fE1vs1Ig4cDVI2HzquZveYIJsE+X22lw1T/OUd7fdYmXcMk7kdztC2nW9KrMVV3WgOqZctEaSj/In7car8vGGpU9dCrdyrLqs66y6J5JkgTTO7gMlaLQP9VEzbnGYM1b0iacKeAGvaO5t10nkRywxH4sY9LWqqC5bWHRlavVo1SR0pJ/xSWc+ovAkt1p1pWIoArXxJrphCTlGkpyXda9o0lN6Y3UDtAvhYeJvnxNyIW5t9wDg/yZIT46TuTCFX1F4ziq76wKx8yuhULXdR6zdt7fca3HzM+VgfF6sX1fx17HKnyw5Rqc70NUkMGH24moyzp+fa8xjUGKAqK3e8nFCIWisQbLLtgVKArI8YUC0qy8IOJ2muSrudvPyMC/OaqOxZrjN+ne42hIo9vOgOqs0Xyl27KpwrXnttvLbGppagCBgZaNsA+r9Ms3WALOeGD+tImeY456nf21d1+XsK/kyX/qcdPZW2xSst2ZN3bpZ//C7DNI1ZaqlekOwyNQBnVvwkqZlyC8hMdJr4GTiahSRJBwySzEwcM6sGQ7uqe86tK3GWQkrO/UrLlJerhj2tdzjp6yclkO2WVYTL0TnklyJIxyxQcuncj1vIeIZeJ5jPDI8T+Kr4mkTeDjilPjhF94zkhY3eeiNuyUkbvvjJm5s2iWpIxd1ra5qo7J5bMGo+NIlrH6tlXVOn3gZEmEX9lXiBF+AqRwvkXzFH3bnwZe93Ik5rHbLIrQxB7V3KwJlc6x9Syn2BaaQconojHBk7uA0RnabJ0daa+GtYk84hmmHLuBz73UgMXIgYGEP5eoyYUAAAAA&lt;/dist&gt;</v>
      </c>
      <c r="D6" s="5" t="str">
        <f>DstName( $C$6 )</f>
        <v>=C10-G11-I11</v>
      </c>
      <c r="E6" s="1"/>
      <c r="I6" t="str">
        <f>'Graph Data'!C6</f>
        <v>&lt;dist name="=C10-G11-I11" avg="-1.71071581E+000" min="-6.46660414E+002" max="4.07067629E+002" count="1000" type="Double" ver="1.1"&gt;nuVABZ3QwVaQnbQ9zki8xmcM///Bk1w/x8yGikCp7uu3u9kJup/XBc54mKQ+wb0YPzh6FWJhiCxTCqxFz6FXyMg/ZrvnZDdz0x6s9zzZVx6/APQI0x7oF10n1p3EwbV32al0r5rvpotnDMrAmTckjKRwmbmvrLddxInijdmsxmbBw8xsF/nWqtuRUXvSW4sYOXbIpJy9vkjKcT7pydZ4UZ33xB5LFFnOS0VKcqk0zMHO+sPN4PJuIWtGxSKQcNECsA+Jc4KYa/pUdaT0b+vSK0CpVeCx44GBi1U4XIyZtgdfGlqplPad73x+v0zA5DIDwpTHzMedc7av2a56nbhq1567xZO+XHmQhxrijYkbwESojba5fSu3sXl1XqS9c5m5xDLUUM9/aWScLoOmuqanONLKdxKPNJlSiir0P5OOxldu9qAdRMDbqUrEg6bBw2xSwPGRXakz3BopwXy92iieVWKzfRGZAW6FdH+EQ559toaViM+IrJGZplJ+xfupeaCyz9TDPr33wn1SYblJhWi0Lqw+V+fzFNmOnWWrT34sqoTYUNo4WOcvqc0Wr0R2wd1mwptgratPuerfaI2Vwe3Nm7nqvsZvETENcYNuhdB1psFwecSDyRNjjvQCrzGy7bvvhzScf4473GtexrWR2ktQDo3nvrGLCKdXNL2APqF2H/Om5nx4qdFABaxCzMGsK8mU4cC4z2fx25OxGFm1s3k3nnRybdC5hYXzPuSfmcxzhD+WqZfblWiyS13Q3h7RAn/DwhWwTM71jIvPoeZDyJva2mH8lyXakJYZa0ZjLpx625PRdfCJv7zXQFxzdCq8QVXh0/9aiI/9vDxoTJ/4peR3pOUaZElYjGhMsaTFyD9j18WhlJnNzv1wk+KQjoxlw9EDlkSZHT+KR1WZ2730pnRHm57n6TvCP6jhykdAWFRosoggnxilwyAAANhnCRXNpcf4z3++RYMXo+Olg8tKy0qLJ0vGjaiDyZJVhiWsnWEcdR6tc1RoyG8vqaA7roWBL9T9a5hMj7uLcdPjN7rHnJ/U0dAO6s83c4WHdGmLCH/q2IVa9dYr10CU4P6DCY25sspvUnF1g7V1vfepM76puAKQtYv4XS+oJYcadYMzlXeqxchiQ8YS4ijVOpdqa5jSs5qSxHg985qSqgxzineP68ZDbc32zMG82IKr4HWM4ngHLMN5c4LcgdJxA7LtlU+TX6iNZCwn7ZbIpMGj7ECpTJ7V+s2tnizQgVnOUz1P6LbXzJHNfqC5bi49UUfo0XW60LvviH1yxjmsTVGmyMfMzUmeAkV79Z6wtG+bv1HVh6sJuJSmHXxMns6Uuq6yilOc+sMJtoYca2h3nJyulYLpkRCo45tplOC0LlZQ2zrMHr7ojomomocVZmWm+m3p4q+oxJSI0A5j0r6yYpThnI3nXp+1QFytxLewnY/vv26wTKN3p4md25URi1m2hsesxD3pcXeeCMav2nVcu+zNg8qomXKK7Xwndt+xqaiNfeCi2aufdTRyxpZymuTMVbqXupdWXXQq17VDv5AIOIiIp8BPRthis5waedTHe3Xwv7/FdmaChn21d8Hl0kfGa2RJxjbDtam0jWGXmRxQsiG1Uccqc76C3GNYut10f7rotOCrqrhUZFaZVbdrr2t4dcUHUEefKVsAsT2+nYThtqm2A9V1XdDEZcNuvQrT/8PNraDGobIhSkthHGh3n4qzDL1shorTbNShtC7aKKRwl+pSYdaZpeS9o7cwdW+1kOScI8OQ7bpULKeSONMe1NGJObQRVbq9xMmU4j+x+pjPvNhjWNVE56Vrb57Ou5t+AoDqwhWQnZdqn1qWqbzQ4Zwuj4asvDy/F0Z8fE1vs1Ig4cDVI2HzquZveYIJsE+X22lw1T/OUd7fdYmXcMk7kdztC2nW9KrMVV3WgOqZctEaSj/In7car8vGGpU9dCrdyrLqs66y6J5JkgTTO7gMlaLQP9VEzbnGYM1b0iacKeAGvaO5t10nkRywxH4sY9LWqqC5bWHRlavVo1SR0pJ/xSWc+ovAkt1p1pWIoArXxJrphCTlGkpyXda9o0lN6Y3UDtAvhYeJvnxNyIW5t9wDg/yZIT46TuTCFX1F4ziq76wKx8yuhULXdR6zdt7fca3HzM+VgfF6sX1fx17HKnyw5Rqc70NUkMGH24moyzp+fa8xjUGKAqK3e8nFCIWisQbLLtgVKArI8YUC0qy8IOJ2muSrudvPyMC/OaqOxZrjN+ne42hIo9vOgOqs0Xyl27KpwrXnttvLbGppagCBgZaNsA+r9Ms3WALOeGD+tImeY456nf21d1+XsK/kyX/qcdPZW2xSst2ZN3bpZ//C7DNI1ZaqlekOwyNQBnVvwkqZlyC8hMdJr4GTiahSRJBwySzEwcM6sGQ7uqe86tK3GWQkrO/UrLlJerhj2tdzjp6yclkO2WVYTL0TnklyJIxyxQcuncj1vIeIZeJ5jPDI8T+Kr4mkTeDjilPjhF94zkhY3eeiNuyUkbvvjJm5s2iWpIxd1ra5qo7J5bMGo+NIlrH6tlXVOn3gZEmEX9lXiBF+AqRwvkXzFH3bnwZe93Ik5rHbLIrQxB7V3KwJlc6x9Syn2BaaQconojHBk7uA0RnabJ0daa+GtYk84hmmHLuBz73UgMXIgYGEP5eoyYUAAAAA&lt;/dist&gt;</v>
      </c>
      <c r="J6" s="6" t="str">
        <f>DstName( $I$6 )</f>
        <v>=C10-G11-I11</v>
      </c>
      <c r="L6" s="1"/>
      <c r="M6" s="1"/>
      <c r="O6" s="21">
        <f>O5+20</f>
        <v>-580</v>
      </c>
      <c r="P6" s="21">
        <f>P5+Q5</f>
        <v>4.0000000000000001E-3</v>
      </c>
      <c r="Q6">
        <v>0</v>
      </c>
      <c r="R6" s="22">
        <f>R5</f>
        <v>80</v>
      </c>
      <c r="S6" s="21">
        <f>FREQUENCY(Dst('Project Model - DIST'!K11),R6)/1000</f>
        <v>0.58199999999999996</v>
      </c>
    </row>
    <row r="7" spans="2:19" x14ac:dyDescent="0.25">
      <c r="B7" s="1"/>
      <c r="C7" s="5">
        <v>-600</v>
      </c>
      <c r="D7" s="7">
        <f t="array" ref="D7:D16">FREQUENCY( Dst( $C$6 ), $C$8:$C$16 ) / DstNumberOfTrials( $C$6 )</f>
        <v>1.0999999999999999E-2</v>
      </c>
      <c r="E7" s="7">
        <f t="shared" ref="E7:E16" si="0">D7/1000</f>
        <v>1.1E-5</v>
      </c>
      <c r="I7" s="6">
        <v>-600</v>
      </c>
      <c r="J7">
        <f>FREQUENCY(Dst($I$6),I7)/1000</f>
        <v>4.0000000000000001E-3</v>
      </c>
      <c r="K7">
        <f t="shared" ref="K7:K17" si="1">J7</f>
        <v>4.0000000000000001E-3</v>
      </c>
      <c r="L7" s="1"/>
      <c r="M7" s="1"/>
      <c r="O7" s="21">
        <f t="shared" ref="O7:O55" si="2">O6+20</f>
        <v>-560</v>
      </c>
      <c r="P7" s="21">
        <f t="shared" ref="P7:P55" si="3">P6+Q6</f>
        <v>4.0000000000000001E-3</v>
      </c>
      <c r="Q7">
        <v>0</v>
      </c>
      <c r="R7" s="21">
        <f>O5</f>
        <v>-600</v>
      </c>
      <c r="S7" s="21">
        <f>S6</f>
        <v>0.58199999999999996</v>
      </c>
    </row>
    <row r="8" spans="2:19" x14ac:dyDescent="0.25">
      <c r="B8" s="1"/>
      <c r="C8" s="5">
        <f t="shared" ref="C8:C16" si="4">C7 + ( $C$17 - $C$7 ) / 10</f>
        <v>-500</v>
      </c>
      <c r="D8" s="7">
        <v>2.5999999999999999E-2</v>
      </c>
      <c r="E8" s="7">
        <f t="shared" si="0"/>
        <v>2.5999999999999998E-5</v>
      </c>
      <c r="I8" s="6">
        <f t="shared" ref="I8:I16" si="5">I7 + ( $I$17 - $I$7 ) / 10</f>
        <v>-500</v>
      </c>
      <c r="J8">
        <f>FREQUENCY(Dst($I$6),I8)/1000</f>
        <v>1.0999999999999999E-2</v>
      </c>
      <c r="K8">
        <f t="shared" si="1"/>
        <v>1.0999999999999999E-2</v>
      </c>
      <c r="L8" s="1"/>
      <c r="M8" s="1"/>
      <c r="O8" s="21">
        <f t="shared" si="2"/>
        <v>-540</v>
      </c>
      <c r="P8" s="21">
        <f t="shared" si="3"/>
        <v>4.0000000000000001E-3</v>
      </c>
      <c r="Q8">
        <v>2E-3</v>
      </c>
    </row>
    <row r="9" spans="2:19" x14ac:dyDescent="0.25">
      <c r="B9" s="1"/>
      <c r="C9" s="5">
        <f t="shared" si="4"/>
        <v>-400</v>
      </c>
      <c r="D9" s="7">
        <v>5.7000000000000002E-2</v>
      </c>
      <c r="E9" s="7">
        <f t="shared" si="0"/>
        <v>5.7000000000000003E-5</v>
      </c>
      <c r="I9" s="6">
        <f t="shared" si="5"/>
        <v>-400</v>
      </c>
      <c r="J9">
        <f>FREQUENCY(Dst($I$6),I9)/1000</f>
        <v>3.6999999999999998E-2</v>
      </c>
      <c r="K9">
        <f t="shared" si="1"/>
        <v>3.6999999999999998E-2</v>
      </c>
      <c r="L9" s="1"/>
      <c r="M9" s="1"/>
      <c r="O9" s="21">
        <f t="shared" si="2"/>
        <v>-520</v>
      </c>
      <c r="P9" s="21">
        <f t="shared" si="3"/>
        <v>6.0000000000000001E-3</v>
      </c>
      <c r="Q9">
        <v>2E-3</v>
      </c>
    </row>
    <row r="10" spans="2:19" x14ac:dyDescent="0.25">
      <c r="B10" s="1"/>
      <c r="C10" s="5">
        <f t="shared" si="4"/>
        <v>-300</v>
      </c>
      <c r="D10" s="7">
        <v>9.5000000000000001E-2</v>
      </c>
      <c r="E10" s="7">
        <f t="shared" si="0"/>
        <v>9.5000000000000005E-5</v>
      </c>
      <c r="I10" s="6">
        <f t="shared" si="5"/>
        <v>-300</v>
      </c>
      <c r="J10">
        <f>FREQUENCY(Dst($I$6),I10)/1000</f>
        <v>9.4E-2</v>
      </c>
      <c r="K10">
        <f t="shared" si="1"/>
        <v>9.4E-2</v>
      </c>
      <c r="L10" s="1"/>
      <c r="M10" s="1"/>
      <c r="O10" s="21">
        <f t="shared" si="2"/>
        <v>-500</v>
      </c>
      <c r="P10" s="21">
        <f t="shared" si="3"/>
        <v>8.0000000000000002E-3</v>
      </c>
      <c r="Q10">
        <v>3.0000000000000001E-3</v>
      </c>
    </row>
    <row r="11" spans="2:19" x14ac:dyDescent="0.25">
      <c r="B11" s="1"/>
      <c r="C11" s="5">
        <f t="shared" si="4"/>
        <v>-200</v>
      </c>
      <c r="D11" s="7">
        <v>0.11600000000000001</v>
      </c>
      <c r="E11" s="7">
        <f t="shared" si="0"/>
        <v>1.16E-4</v>
      </c>
      <c r="I11" s="6">
        <f t="shared" si="5"/>
        <v>-200</v>
      </c>
      <c r="J11">
        <f>FREQUENCY(Dst($I$6),I11)/1000</f>
        <v>0.189</v>
      </c>
      <c r="K11">
        <f t="shared" si="1"/>
        <v>0.189</v>
      </c>
      <c r="L11" s="1"/>
      <c r="M11" s="1"/>
      <c r="O11" s="21">
        <f t="shared" si="2"/>
        <v>-480</v>
      </c>
      <c r="P11" s="21">
        <f t="shared" si="3"/>
        <v>1.0999999999999999E-2</v>
      </c>
      <c r="Q11">
        <v>4.0000000000000001E-3</v>
      </c>
    </row>
    <row r="12" spans="2:19" x14ac:dyDescent="0.25">
      <c r="B12" s="1"/>
      <c r="C12" s="5">
        <f t="shared" si="4"/>
        <v>-100</v>
      </c>
      <c r="D12" s="7">
        <v>0.15</v>
      </c>
      <c r="E12" s="7">
        <f t="shared" si="0"/>
        <v>1.4999999999999999E-4</v>
      </c>
      <c r="I12" s="6">
        <f t="shared" si="5"/>
        <v>-100</v>
      </c>
      <c r="J12">
        <f>FREQUENCY(Dst($I$6),I12)/1000</f>
        <v>0.30499999999999999</v>
      </c>
      <c r="K12">
        <f t="shared" si="1"/>
        <v>0.30499999999999999</v>
      </c>
      <c r="L12" s="1"/>
      <c r="M12" s="1"/>
      <c r="O12" s="21">
        <f t="shared" si="2"/>
        <v>-460</v>
      </c>
      <c r="P12" s="21">
        <f t="shared" si="3"/>
        <v>1.4999999999999999E-2</v>
      </c>
      <c r="Q12">
        <v>4.0000000000000001E-3</v>
      </c>
    </row>
    <row r="13" spans="2:19" x14ac:dyDescent="0.25">
      <c r="B13" s="1"/>
      <c r="C13" s="5">
        <f t="shared" si="4"/>
        <v>0</v>
      </c>
      <c r="D13" s="7">
        <v>0.16400000000000001</v>
      </c>
      <c r="E13" s="7">
        <f t="shared" si="0"/>
        <v>1.64E-4</v>
      </c>
      <c r="I13" s="6">
        <f t="shared" si="5"/>
        <v>0</v>
      </c>
      <c r="J13">
        <f>FREQUENCY(Dst($I$6),I13)/1000</f>
        <v>0.45500000000000002</v>
      </c>
      <c r="K13">
        <f t="shared" si="1"/>
        <v>0.45500000000000002</v>
      </c>
      <c r="L13" s="1"/>
      <c r="M13" s="1"/>
      <c r="O13" s="21">
        <f t="shared" si="2"/>
        <v>-440</v>
      </c>
      <c r="P13" s="21">
        <f t="shared" si="3"/>
        <v>1.9E-2</v>
      </c>
      <c r="Q13">
        <v>6.0000000000000001E-3</v>
      </c>
    </row>
    <row r="14" spans="2:19" x14ac:dyDescent="0.25">
      <c r="B14" s="1"/>
      <c r="C14" s="5">
        <f t="shared" si="4"/>
        <v>100</v>
      </c>
      <c r="D14" s="7">
        <v>0.214</v>
      </c>
      <c r="E14" s="7">
        <f t="shared" si="0"/>
        <v>2.14E-4</v>
      </c>
      <c r="I14" s="6">
        <f t="shared" si="5"/>
        <v>100</v>
      </c>
      <c r="J14">
        <f>FREQUENCY(Dst($I$6),I14)/1000</f>
        <v>0.61899999999999999</v>
      </c>
      <c r="K14">
        <f t="shared" si="1"/>
        <v>0.61899999999999999</v>
      </c>
      <c r="L14" s="1"/>
      <c r="M14" s="1"/>
      <c r="O14" s="21">
        <f t="shared" si="2"/>
        <v>-420</v>
      </c>
      <c r="P14" s="21">
        <f t="shared" si="3"/>
        <v>2.5000000000000001E-2</v>
      </c>
      <c r="Q14">
        <v>4.0000000000000001E-3</v>
      </c>
    </row>
    <row r="15" spans="2:19" x14ac:dyDescent="0.25">
      <c r="B15" s="1"/>
      <c r="C15" s="5">
        <f t="shared" si="4"/>
        <v>200</v>
      </c>
      <c r="D15" s="7">
        <v>0.14099999999999999</v>
      </c>
      <c r="E15" s="7">
        <f t="shared" si="0"/>
        <v>1.4099999999999998E-4</v>
      </c>
      <c r="I15" s="6">
        <f t="shared" si="5"/>
        <v>200</v>
      </c>
      <c r="J15">
        <f>FREQUENCY(Dst($I$6),I15)/1000</f>
        <v>0.83299999999999996</v>
      </c>
      <c r="K15">
        <f t="shared" si="1"/>
        <v>0.83299999999999996</v>
      </c>
      <c r="L15" s="1"/>
      <c r="M15" s="1"/>
      <c r="O15" s="21">
        <f t="shared" si="2"/>
        <v>-400</v>
      </c>
      <c r="P15" s="21">
        <f t="shared" si="3"/>
        <v>2.9000000000000001E-2</v>
      </c>
      <c r="Q15">
        <v>8.0000000000000002E-3</v>
      </c>
    </row>
    <row r="16" spans="2:19" x14ac:dyDescent="0.25">
      <c r="B16" s="1"/>
      <c r="C16" s="5">
        <f t="shared" si="4"/>
        <v>300</v>
      </c>
      <c r="D16" s="7">
        <v>2.5999999999999999E-2</v>
      </c>
      <c r="E16" s="7">
        <f t="shared" si="0"/>
        <v>2.5999999999999998E-5</v>
      </c>
      <c r="I16" s="6">
        <f t="shared" si="5"/>
        <v>300</v>
      </c>
      <c r="J16">
        <f>FREQUENCY(Dst($I$6),I16)/1000</f>
        <v>0.97399999999999998</v>
      </c>
      <c r="K16">
        <f t="shared" si="1"/>
        <v>0.97399999999999998</v>
      </c>
      <c r="L16" s="1"/>
      <c r="M16" s="1"/>
      <c r="O16" s="21">
        <f t="shared" si="2"/>
        <v>-380</v>
      </c>
      <c r="P16" s="21">
        <f t="shared" si="3"/>
        <v>3.7000000000000005E-2</v>
      </c>
      <c r="Q16">
        <v>1.7000000000000001E-2</v>
      </c>
    </row>
    <row r="17" spans="2:17" x14ac:dyDescent="0.25">
      <c r="B17" s="1"/>
      <c r="C17" s="5">
        <v>400</v>
      </c>
      <c r="D17" s="1"/>
      <c r="E17" s="1"/>
      <c r="I17" s="6">
        <v>400</v>
      </c>
      <c r="J17">
        <f>FREQUENCY(Dst($I$6),I17)/1000</f>
        <v>0.998</v>
      </c>
      <c r="K17">
        <f t="shared" si="1"/>
        <v>0.998</v>
      </c>
      <c r="L17" s="1"/>
      <c r="M17" s="1"/>
      <c r="O17" s="21">
        <f t="shared" si="2"/>
        <v>-360</v>
      </c>
      <c r="P17" s="21">
        <f t="shared" si="3"/>
        <v>5.4000000000000006E-2</v>
      </c>
      <c r="Q17">
        <v>6.0000000000000001E-3</v>
      </c>
    </row>
    <row r="18" spans="2:17" x14ac:dyDescent="0.25">
      <c r="B18" s="1"/>
      <c r="C18" s="1"/>
      <c r="D18" s="1"/>
      <c r="E18" s="2"/>
      <c r="O18" s="21">
        <f t="shared" si="2"/>
        <v>-340</v>
      </c>
      <c r="P18" s="21">
        <f t="shared" si="3"/>
        <v>6.0000000000000005E-2</v>
      </c>
      <c r="Q18">
        <v>1.2999999999999999E-2</v>
      </c>
    </row>
    <row r="19" spans="2:17" x14ac:dyDescent="0.25">
      <c r="O19" s="21">
        <f t="shared" si="2"/>
        <v>-320</v>
      </c>
      <c r="P19" s="21">
        <f t="shared" si="3"/>
        <v>7.3000000000000009E-2</v>
      </c>
      <c r="Q19">
        <v>8.0000000000000002E-3</v>
      </c>
    </row>
    <row r="20" spans="2:17" x14ac:dyDescent="0.25">
      <c r="O20" s="21">
        <f t="shared" si="2"/>
        <v>-300</v>
      </c>
      <c r="P20" s="21">
        <f t="shared" si="3"/>
        <v>8.1000000000000016E-2</v>
      </c>
      <c r="Q20">
        <v>1.2999999999999999E-2</v>
      </c>
    </row>
    <row r="21" spans="2:17" x14ac:dyDescent="0.25">
      <c r="O21" s="21">
        <f t="shared" si="2"/>
        <v>-280</v>
      </c>
      <c r="P21" s="21">
        <f t="shared" si="3"/>
        <v>9.4000000000000014E-2</v>
      </c>
      <c r="Q21">
        <v>1.7000000000000001E-2</v>
      </c>
    </row>
    <row r="22" spans="2:17" x14ac:dyDescent="0.25">
      <c r="O22" s="21">
        <f t="shared" si="2"/>
        <v>-260</v>
      </c>
      <c r="P22" s="21">
        <f t="shared" si="3"/>
        <v>0.11100000000000002</v>
      </c>
      <c r="Q22">
        <v>1.7999999999999999E-2</v>
      </c>
    </row>
    <row r="23" spans="2:17" x14ac:dyDescent="0.25">
      <c r="O23" s="21">
        <f t="shared" si="2"/>
        <v>-240</v>
      </c>
      <c r="P23" s="21">
        <f t="shared" si="3"/>
        <v>0.129</v>
      </c>
      <c r="Q23">
        <v>1.7999999999999999E-2</v>
      </c>
    </row>
    <row r="24" spans="2:17" x14ac:dyDescent="0.25">
      <c r="O24" s="21">
        <f t="shared" si="2"/>
        <v>-220</v>
      </c>
      <c r="P24" s="21">
        <f t="shared" si="3"/>
        <v>0.14699999999999999</v>
      </c>
      <c r="Q24">
        <v>1.9E-2</v>
      </c>
    </row>
    <row r="25" spans="2:17" x14ac:dyDescent="0.25">
      <c r="O25" s="21">
        <f t="shared" si="2"/>
        <v>-200</v>
      </c>
      <c r="P25" s="21">
        <f t="shared" si="3"/>
        <v>0.16599999999999998</v>
      </c>
      <c r="Q25">
        <v>2.3E-2</v>
      </c>
    </row>
    <row r="26" spans="2:17" x14ac:dyDescent="0.25">
      <c r="O26" s="21">
        <f t="shared" si="2"/>
        <v>-180</v>
      </c>
      <c r="P26" s="21">
        <f t="shared" si="3"/>
        <v>0.18899999999999997</v>
      </c>
      <c r="Q26">
        <v>1.6E-2</v>
      </c>
    </row>
    <row r="27" spans="2:17" x14ac:dyDescent="0.25">
      <c r="O27" s="21">
        <f t="shared" si="2"/>
        <v>-160</v>
      </c>
      <c r="P27" s="21">
        <f t="shared" si="3"/>
        <v>0.20499999999999996</v>
      </c>
      <c r="Q27">
        <v>2.9000000000000001E-2</v>
      </c>
    </row>
    <row r="28" spans="2:17" x14ac:dyDescent="0.25">
      <c r="O28" s="21">
        <f t="shared" si="2"/>
        <v>-140</v>
      </c>
      <c r="P28" s="21">
        <f t="shared" si="3"/>
        <v>0.23399999999999996</v>
      </c>
      <c r="Q28">
        <v>1.7999999999999999E-2</v>
      </c>
    </row>
    <row r="29" spans="2:17" x14ac:dyDescent="0.25">
      <c r="O29" s="21">
        <f t="shared" si="2"/>
        <v>-120</v>
      </c>
      <c r="P29" s="21">
        <f t="shared" si="3"/>
        <v>0.25199999999999995</v>
      </c>
      <c r="Q29">
        <v>2.5000000000000001E-2</v>
      </c>
    </row>
    <row r="30" spans="2:17" x14ac:dyDescent="0.25">
      <c r="O30" s="21">
        <f t="shared" si="2"/>
        <v>-100</v>
      </c>
      <c r="P30" s="21">
        <f t="shared" si="3"/>
        <v>0.27699999999999997</v>
      </c>
      <c r="Q30">
        <v>2.8000000000000001E-2</v>
      </c>
    </row>
    <row r="31" spans="2:17" x14ac:dyDescent="0.25">
      <c r="O31" s="21">
        <f t="shared" si="2"/>
        <v>-80</v>
      </c>
      <c r="P31" s="21">
        <f t="shared" si="3"/>
        <v>0.30499999999999999</v>
      </c>
      <c r="Q31">
        <v>2.9000000000000001E-2</v>
      </c>
    </row>
    <row r="32" spans="2:17" x14ac:dyDescent="0.25">
      <c r="O32" s="21">
        <f t="shared" si="2"/>
        <v>-60</v>
      </c>
      <c r="P32" s="21">
        <f t="shared" si="3"/>
        <v>0.33400000000000002</v>
      </c>
      <c r="Q32">
        <v>2.9000000000000001E-2</v>
      </c>
    </row>
    <row r="33" spans="15:17" x14ac:dyDescent="0.25">
      <c r="O33" s="21">
        <f t="shared" si="2"/>
        <v>-40</v>
      </c>
      <c r="P33" s="21">
        <f t="shared" si="3"/>
        <v>0.36300000000000004</v>
      </c>
      <c r="Q33">
        <v>2.5000000000000001E-2</v>
      </c>
    </row>
    <row r="34" spans="15:17" x14ac:dyDescent="0.25">
      <c r="O34" s="21">
        <f t="shared" si="2"/>
        <v>-20</v>
      </c>
      <c r="P34" s="21">
        <f t="shared" si="3"/>
        <v>0.38800000000000007</v>
      </c>
      <c r="Q34">
        <v>3.1E-2</v>
      </c>
    </row>
    <row r="35" spans="15:17" x14ac:dyDescent="0.25">
      <c r="O35" s="21">
        <f t="shared" si="2"/>
        <v>0</v>
      </c>
      <c r="P35" s="21">
        <f t="shared" si="3"/>
        <v>0.41900000000000004</v>
      </c>
      <c r="Q35">
        <v>3.5999999999999997E-2</v>
      </c>
    </row>
    <row r="36" spans="15:17" x14ac:dyDescent="0.25">
      <c r="O36" s="21">
        <f t="shared" si="2"/>
        <v>20</v>
      </c>
      <c r="P36" s="21">
        <f t="shared" si="3"/>
        <v>0.45500000000000002</v>
      </c>
      <c r="Q36">
        <v>3.4000000000000002E-2</v>
      </c>
    </row>
    <row r="37" spans="15:17" x14ac:dyDescent="0.25">
      <c r="O37" s="21">
        <f t="shared" si="2"/>
        <v>40</v>
      </c>
      <c r="P37" s="21">
        <f t="shared" si="3"/>
        <v>0.48899999999999999</v>
      </c>
      <c r="Q37">
        <v>2.4E-2</v>
      </c>
    </row>
    <row r="38" spans="15:17" x14ac:dyDescent="0.25">
      <c r="O38" s="21">
        <f t="shared" si="2"/>
        <v>60</v>
      </c>
      <c r="P38" s="21">
        <f t="shared" si="3"/>
        <v>0.51300000000000001</v>
      </c>
      <c r="Q38">
        <v>3.3000000000000002E-2</v>
      </c>
    </row>
    <row r="39" spans="15:17" x14ac:dyDescent="0.25">
      <c r="O39" s="21">
        <f t="shared" si="2"/>
        <v>80</v>
      </c>
      <c r="P39" s="21">
        <f t="shared" si="3"/>
        <v>0.54600000000000004</v>
      </c>
      <c r="Q39">
        <v>3.5999999999999997E-2</v>
      </c>
    </row>
    <row r="40" spans="15:17" x14ac:dyDescent="0.25">
      <c r="O40" s="21">
        <f t="shared" si="2"/>
        <v>100</v>
      </c>
      <c r="P40" s="21">
        <f t="shared" si="3"/>
        <v>0.58200000000000007</v>
      </c>
      <c r="Q40">
        <v>3.6999999999999998E-2</v>
      </c>
    </row>
    <row r="41" spans="15:17" x14ac:dyDescent="0.25">
      <c r="O41" s="21">
        <f t="shared" si="2"/>
        <v>120</v>
      </c>
      <c r="P41" s="21">
        <f t="shared" si="3"/>
        <v>0.61900000000000011</v>
      </c>
      <c r="Q41">
        <v>3.9E-2</v>
      </c>
    </row>
    <row r="42" spans="15:17" x14ac:dyDescent="0.25">
      <c r="O42" s="21">
        <f t="shared" si="2"/>
        <v>140</v>
      </c>
      <c r="P42" s="21">
        <f t="shared" si="3"/>
        <v>0.65800000000000014</v>
      </c>
      <c r="Q42">
        <v>0.05</v>
      </c>
    </row>
    <row r="43" spans="15:17" x14ac:dyDescent="0.25">
      <c r="O43" s="21">
        <f t="shared" si="2"/>
        <v>160</v>
      </c>
      <c r="P43" s="21">
        <f t="shared" si="3"/>
        <v>0.70800000000000018</v>
      </c>
      <c r="Q43">
        <v>3.5000000000000003E-2</v>
      </c>
    </row>
    <row r="44" spans="15:17" x14ac:dyDescent="0.25">
      <c r="O44" s="21">
        <f t="shared" si="2"/>
        <v>180</v>
      </c>
      <c r="P44" s="21">
        <f t="shared" si="3"/>
        <v>0.74300000000000022</v>
      </c>
      <c r="Q44">
        <v>0.05</v>
      </c>
    </row>
    <row r="45" spans="15:17" x14ac:dyDescent="0.25">
      <c r="O45" s="21">
        <f t="shared" si="2"/>
        <v>200</v>
      </c>
      <c r="P45" s="21">
        <f t="shared" si="3"/>
        <v>0.79300000000000026</v>
      </c>
      <c r="Q45">
        <v>0.04</v>
      </c>
    </row>
    <row r="46" spans="15:17" x14ac:dyDescent="0.25">
      <c r="O46" s="21">
        <f t="shared" si="2"/>
        <v>220</v>
      </c>
      <c r="P46" s="21">
        <f t="shared" si="3"/>
        <v>0.8330000000000003</v>
      </c>
      <c r="Q46">
        <v>3.5999999999999997E-2</v>
      </c>
    </row>
    <row r="47" spans="15:17" x14ac:dyDescent="0.25">
      <c r="O47" s="21">
        <f t="shared" si="2"/>
        <v>240</v>
      </c>
      <c r="P47" s="21">
        <f t="shared" si="3"/>
        <v>0.86900000000000033</v>
      </c>
      <c r="Q47">
        <v>3.6999999999999998E-2</v>
      </c>
    </row>
    <row r="48" spans="15:17" x14ac:dyDescent="0.25">
      <c r="O48" s="21">
        <f t="shared" si="2"/>
        <v>260</v>
      </c>
      <c r="P48" s="21">
        <f t="shared" si="3"/>
        <v>0.90600000000000036</v>
      </c>
      <c r="Q48">
        <v>3.4000000000000002E-2</v>
      </c>
    </row>
    <row r="49" spans="15:17" x14ac:dyDescent="0.25">
      <c r="O49" s="21">
        <f t="shared" si="2"/>
        <v>280</v>
      </c>
      <c r="P49" s="21">
        <f t="shared" si="3"/>
        <v>0.94000000000000039</v>
      </c>
      <c r="Q49">
        <v>1.0999999999999999E-2</v>
      </c>
    </row>
    <row r="50" spans="15:17" x14ac:dyDescent="0.25">
      <c r="O50" s="21">
        <f t="shared" si="2"/>
        <v>300</v>
      </c>
      <c r="P50" s="21">
        <f t="shared" si="3"/>
        <v>0.9510000000000004</v>
      </c>
      <c r="Q50">
        <v>2.3E-2</v>
      </c>
    </row>
    <row r="51" spans="15:17" x14ac:dyDescent="0.25">
      <c r="O51" s="21">
        <f t="shared" si="2"/>
        <v>320</v>
      </c>
      <c r="P51" s="21">
        <f t="shared" si="3"/>
        <v>0.97400000000000042</v>
      </c>
      <c r="Q51">
        <v>1.2999999999999999E-2</v>
      </c>
    </row>
    <row r="52" spans="15:17" x14ac:dyDescent="0.25">
      <c r="O52" s="21">
        <f t="shared" si="2"/>
        <v>340</v>
      </c>
      <c r="P52" s="21">
        <f t="shared" si="3"/>
        <v>0.98700000000000043</v>
      </c>
      <c r="Q52">
        <v>3.0000000000000001E-3</v>
      </c>
    </row>
    <row r="53" spans="15:17" x14ac:dyDescent="0.25">
      <c r="O53" s="21">
        <f t="shared" si="2"/>
        <v>360</v>
      </c>
      <c r="P53" s="21">
        <f t="shared" si="3"/>
        <v>0.99000000000000044</v>
      </c>
      <c r="Q53">
        <v>6.0000000000000001E-3</v>
      </c>
    </row>
    <row r="54" spans="15:17" x14ac:dyDescent="0.25">
      <c r="O54" s="21">
        <f t="shared" si="2"/>
        <v>380</v>
      </c>
      <c r="P54" s="21">
        <f t="shared" si="3"/>
        <v>0.99600000000000044</v>
      </c>
      <c r="Q54">
        <v>2E-3</v>
      </c>
    </row>
    <row r="55" spans="15:17" x14ac:dyDescent="0.25">
      <c r="O55" s="21">
        <f t="shared" si="2"/>
        <v>400</v>
      </c>
      <c r="P55" s="21">
        <f t="shared" si="3"/>
        <v>0.99800000000000044</v>
      </c>
      <c r="Q5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0:N47"/>
  <sheetViews>
    <sheetView workbookViewId="0">
      <selection activeCell="K11" sqref="K11"/>
    </sheetView>
  </sheetViews>
  <sheetFormatPr defaultRowHeight="15" x14ac:dyDescent="0.25"/>
  <sheetData>
    <row r="10" spans="3:11" x14ac:dyDescent="0.25">
      <c r="C10">
        <f>'Project Model'!$C$10</f>
        <v>900</v>
      </c>
    </row>
    <row r="11" spans="3:11" x14ac:dyDescent="0.25">
      <c r="D11" t="str">
        <f>J37</f>
        <v>&lt;dist name="=G37+I37" avg="1.98703615E+001" min="9.17196713E+000" max="4.02674095E+001" count="1000" type="Double" ver="1.1"&gt;u+q2RVhDGhtbGzomQxZFTZ5HIi06Jt8KCeFRd///NSMcgieqUXcxZTzzt4b//2VfvlmAvzsJHILfClkmHIJbGxfpnkdQ2///QjJRd///7F5lX0RqHfkORexeOwlHelsbPBeAv3pEWxueR2VfWSZbGzsJNSNs4juDTHcwv0aWOiYnhFMH3wpdSzz65/o8F1/KnWQX6TomWxtT67cpJ0dn11sbR3pbGzom3+2Av3pEHt0d+UMWPPomZDBFOiYMcQnhO4MUVh353+2dZFsbWxtHev//WxsQdxyCOwmeRxfpWxtZJp5HeTgzT4IbWxs6oN8KUwcxZTsJVs09jlPrUXeAv2CuD5RbGxk4Wxswv0MLRU0mZDdVbR9bG1Pr3+07CTUjMSgSojUjZ9c7CTsJOSo7CTomWEO8zQzHeTgoPXbDOwk7uVsb3wpKR4C/OwkmoVsbOwk7CR1mFTmeRzEoXUtxJaq4YK4XBpRmYK4e3Xk4Ghtn1xfpTVpgrmCuO2xRd09FRGoaG1sbZV8XBmVfDkVbG1sb63sXCzYGbDtwBV/KUwcxZTCCnWS+WRcGUwep1VG+OwmAv3AFWxsX6WCuUXdFTVsbPY58djBFgL+UZlkmRGrfCjEoUb6Tg0VNUXdFTRfpOwkdZnpEHaOAvxyCRWS+WVXqWSZHelhDvllgrlsb//9DFlMHGTi2RVsbQxYnhDomTHdYQ1sbRGpRd98KMWX36zEoHflbGxyC5xc6JjsJgL9bG7hpFhRbG1sbKD0wgl/KOI8UVjsJOiYX6TYGSkcAADsJWEMX6VF3MShfyjkqRU06JikhE4UMx7cpF+kcgoC/Owm+WbvqOEZbGxcGWxs7CSeqQxZgrlsbWxs7Cf//ZV87CV/KOwmBNzqJekSAv1PruGkwgr5Z//9ZJhLfOXLfClsbHOZRdzomWEP//zomWxs7Cf//Wxvf7SbH//8ThUpHMaITwjomeThbGxLfMIK4af//eThfyhOFu+o7CTsJMShbGzsJJqG+WTomQxZGlkpH63u+WTsJWxteLyahWxs88zFlTVr//zomwkpCMidHOiZbGzYGDMdGlh3Jvlk4RmVf//+JokSBWxs7CVsbWxsVMTsJgL86JlsbiaKAvw+UOwlbG1MHDkVFTTsJ63sX6UInUXe+WUInU+tgrp5HJ6rsXjsJRpZRd3mPDMd2w2EzvhyAv3k4Owln10RqFwZ5OCdHgL87CRcGOwlbG///qdVHelF3eTgnRzsJtynCSkaWSWQnhHII3+2+WboWOwlktGWXHWYwRf//FhRbGzFlOiY7CTsJIi1FTYC/ZV9FZHElU+t7J3sneTh7JyFKf8FfyhB3GhvWDJ1kMWU6JiZkOiZ6RFsbOiZbG6q4NSNGlieESWRM7FbNgL8wRYCkCMBbG66IE8LsXk5iWxtFTVXqnWQ7CWCuZV8doxYUQjIxZT/AOiZ5OHmPOwk7CTomUwcNYjrWnWQnR4qFJmQVOQ1iWxsX6VMHO4NlXyZkWxs7CVsbOqAwRR1mOwlEakIyQjKdZBcGF+l7Jzom3+1fyjomvlmquDomwkoxZVsbMSg7CTsJgTdbGzEoMII6JkIyJ4RktFsbWxtbG98KTOxYQzFleY95OGCuWxtV6jomHWYcgmVfnWRgrnElWxtfyieqOiatpdYMIFlT6zomWxswghzAWxtlXzuDZLQ7CRfpPY5T60zsnWQ7CZ1kTAgxKFkmUXcJpAmkWxtdSzomWxsX6Ud6WxsTwkzsOwlDnkx3//9WzTyq//9FTR35FFaApE9FnWQ6JhyCOolbG1sbUXdgrkd6MKhfynk4HfkX6XisOI9bGzsJOwlbGx35RGr//3k4OSo9jp1kOiY7Cf//THcwgoC/MWXf7TBFWxu4ad/tHt0X6Q2qgKRn11F3X8pEaqnVE+hFTZ5HvM1bG2VfOiYnR3ElOiYxKFhDF+k1I0wIOiYfdWVfOwkxZTBFWxs7CRKiHWY8qlF3OwlDCztsMIIZOOxeeKxYQ1/K7F5dS3IIWxtYQzFlUNtbG1/KOwlfynk4Fwap1WfXWENEahOFwWcnqoC/k4MxZWCuJ6pHeidHWSZDCxyCU+s6JkaWUwdbG51kWxs883mPFwZktDsJMWVDFp5HRpZyCA2qnWQI/lF3uGk9jjomHt0wgsJKRU24ad/tPPMX6VkmUwdfylF3J0d/wVsbGhtbGxcGZV87CUVNvlkThWCuRIE6oCN8OiY6JklkJqETwnk4U+teL0RqPdZHeg5FeKxbG4E3E4UnRyZkOwk6JjFlOwk7CXk4O4NZJlMH9+sxZVsbOwk6JlF3YFBbG9/tH3VFTSZkWxsX6VsbOiZZJoC/3wpDFp5HR3oTwkx3WSY0MjomOiZ2w75ZgKTVKYIbWSbnF2CuWSY6JkIyZV++WVsbRU0ThexeOwlKR2VfgL9bG2VfcghM7IC/F+nnF1sbZV9bG2S0RGo7CTsJUXcVMQMjHt0X6b5ZHflbGwQGf8Exi2w7HflgrjUjnWRgrhfpFwYxKOxeMWWTgzdVeTg7CThGeTjn+lsbMIJFTVsbQjJgrjC/eY86JkIyMWUXC1/KOwnnF1sbRU0J4XXgRpYnqkOeOwlbG///ZV8/wBKiQ54cgjqJJ6pGlkInOwlbG20fXUt5OGVfMWUJ4TsJQxaAvxyCHfkAAAAA&lt;/dist&gt;</v>
      </c>
      <c r="G11" t="str">
        <f t="array" ref="G11">DstCreate(Dst(F47)+Dst(H47)+Dst(J47),"=F47+H47+J47")</f>
        <v>&lt;dist name="=F47+H47+J47" avg="8.00000000E+002" min="4.72700307E+002" max="1.41238963E+003" count="1000" type="Double" ver="1.1"&gt;AABv/mQkS8dwHlp3PUNQ5VwMBYNLgifdRIiE/SYVGKpWjDEzSpUzdj0NC18oODQMaN5kBLZCi+EyMVMMO8Cv2UQHXGcY/DBpN9ZZ5ipbIGIx6RLuN9YgUhmeM+tH8kbLMIBqEkWdV4dcDCS8aGrpTGwveDI7pFb2RG4miDB9RhlLTDUSdG0fZS5dKxE4sXGpkAtDlnTRPOg2aXBZQj9+uWElSKi+F7/fOgaZbzWcPvk8e0kDKFWpFaxJR4WCnDo0XyeKcpIiFVhxxVlPlMg45yYVsfxdGpNbiFaQZobqRiqplWnwTVlzel/3O8VMR1c6QBxEiES9lM1fY1XEav51HFrBRwY80pxDeskmiIrVTPpnkletdApETJE4JE1QI3gySJI2fzvmj3Z1cZDzU0dpEDg1j5YQt3imWXUSsFFdRiqoJl69Qjcsq5kTkPNLTJjQTDiBkmbYLcOgx5izG3pK21SSgIF5AV15ih6QQ0KqV+dd9jvcXm1gdLA/RpFd0GnWO4dJpD1DLf/IMzhSjvtIPFEjIGIT/zCeUMk9bIAmWxcyAy/gbMl6UT6aVcQ+9iNQSlqAgT1sQc4qD238QmU+BUHOTqZ0n+2SbaFdeSp4aZURL0g3OhpqphL0V2db71HVjPd1FlPbLWiCpFj5L8pV/nhQPmSIrFl1dJ988V06SsNpbI66ZiZv/lEePvljg0KJI6tF3p26LlpVRCq2W1I4PqIAqXBCP45fQMpxnD9QWJ5pVgtffQlKWqkVK4A6NH5eSvFe4jyBhvo7wCJfQgkvKraza54vfXOKrEmea3UcLlo5sxbZTZMzNE86olBReoydNtpKPhC3UX+dVHExWEKeaiOrtB+pdZ1USxVGyyeCFiJvY2EqPHduNiaEU4B6zi8KDSd44WiDHppns0+Saew/A2AYHwpCCWczMkgmcMXtShX//1L0N3qObTHpZGc9+ULAO+ZPN5GUPJxYr0CdQJ0ZnhmeVYp52oB8G8FjA7euoT9PyMXtQ9F6UXDmYOCTtzQmCk5Z6VJGkqUQcFMhYqc17jtFGKEwaY7YKU+IrJUjMcisSTRrMzR9ogctpQ1UWCUXEiRgUlkZPUNm2Dx7Q/GCToefhGxoBnrJYFKzE55jRsukGDwxJvk1eXrJCk44Tnc/P4tqS3c/WryLMEmIHDA2dz2ePvlIF2GGKOFY2IWjfc1kumGlkwCG6lvvfSVPIWeSfJb3znt/a9RadyYVbjY0oTU3QwU6xb/fWY5SPleMPno+JUdLEuBrAWNbObM3RTUii4aj3y3rzeBXQkSIPmFzZNaqESZebW/EMY41IjycSnA4MmcWQk9LsWCuUspdm0nfV+d4XltWdPZgzpHHgeg192QDfaJIPGJ1Lr4/sE6AhAljTX8UehhpVnHFJmJVCRjoO0USJEkTo70nlnhQZmBZVKTUK4Beh4MtTepe4m1GaLVDYEzkiFFX50SsPj8ezp5xxqRfYl+cUdk+H0FTZjeIyo8Vn0dA3meShSFt91HVoSaj33vfduM/clNXU1dvoqJQMrGmgIMQTwl0ZUzuYFJUknWHIzxE444ITY9HJrGhVaNGy0smOMdGFLQfRk8tTFP8c79oSW+PWJ5JyUU+ckJhpZ1ZQL2UzVL8WcBkFDlkX/dgzy65TZOGj0ejyo4N3jIxXdRDrI+SRXRYeTU3qRUr3EluNMY22kkDYeE6r1iefSu3rltWblhbzT/RhP03fzYkSDwbemwvZ+7IMzPvWEJP7VLyoORY+iB2Rn10ClOiPISAnTfWNe5TJVQdcFlPyEKJJt9KtWbtSBedWTVtINGVKUJPUjSXRmRfSvFwHnrJceJpVlDZJ5Y6YV1fUX9OS4FxmTCnUhJ/I6s1k38UZPARbZLCTJMLXxgxNXM9OCqoaTlb0zo0ahIaxE1yEjg/cmZgIL1mNx2d0VJDmy8UX3NGb23BolAr31ieWxdb9VaYgNc3tlYxan07DzVtPeNGIDWTOOx1dyldT+1UUxmeUjVO44AmEiQfZUdLl6EqF2PkZU9uw2lbR4Fdm1etf+NNcl32YaUyoHbeGI0jq5lvcQ9P7bqNHq42yTsgfn6KHpkwOJBUUy3dhkxmkoqzudFK8WeTJchJE2OoRIhg4ISloT8ySCqoUQJEiDMUI/Ka/5f9RQNFPiAHI6sFrULtgkGMPHndNml/y1dnhi5TJVvSmcQ1V466QZVAvTJFgt1DP3eaOFZRnyaiduNkAy1iQ3ZOJTUiO9YQcB5TJZLTIC4YZF9QfmCtLjhmN1iZV4dAd61ArbaTW0uRXydTZzZtE+s9DaWFWiFy+HwWW/NGyyM8XnMkBpUjkqUw2JjQXAFoameTGrBJ/5YYNRJlSxt6OWjK16DkSrVKmYsOWCFGfVpEed0rEWrIMqNH8kmoQktsyVYxHUJXQhHIYqc0gThSY02iUBZ+W5hYQ4kNMMwkTT5DVpiSSmtDR6PwTkM7SHKLoSaeholDP2iDX71aCihlUsolc5Y6PUOpGiDVkuRmJ1HVhupUVwzMbA9xD1etNSJCLlvTPJw1Ckq1WB41eYUhtB94UDDcW3iXRmwvTzcT/4CBckEc05JKIeMuzlwMSKg0w2OpfJdKujyEFcd3mkHkbrNLglJSOhovpXRlrhF7OmaCEpM6HjXUO6A2SUbLk1tYnnqEQpoAAAAA&lt;/dist&gt;</v>
      </c>
      <c r="I11" t="str">
        <f t="array" ref="I11">DstCreate(30*K16*Dst(N37),"=30*K16*N37")</f>
        <v>&lt;dist name="=30*K16*N37" avg="1.01710716E+002" min="0.00000000E+000" max="6.68022285E+002" count="1000" type="Double" ver="1.1"&gt;oOyZChXDAAAZvAAAAAAAAHeJAAAAANH5AAAMRf//AAAAAAAADEUAAAAAmsr//ygSpFJOTAAAAADR+RcAAAAZvAAAd4kLa///AAAMRf//5JYoEgAAAAAAAOSWAAAAABm8AABOTEU/Gbx3iSgSFwAZvAAAAAAyjwAABUoAAAAAAAAAAA500fkcygAA3nQAACBGdkwAAAAAGbwPsppJAAArhBm8AAAZvAAA0zZOTEU/AAAAAAAAAAAAAAAAAAAAAAAAAAAAAAAA0zZ2TBm8GbwAAP//GbwAAAAAAAB3iQAAGbwXAHeJQ8kAAFAyGbwAANH5DnQAAAAAE7kAAA+yDEVOTCGEAAAZvAAAGbwAAAAAAAAAAAAAMuQZvA+y0zYAAAAAAAAAAAAAK4QAAAAAAAAAAAAAFcOiKQAAQ8kAAEBbAAAAABm80fkCPE5MAAAAABm8AAAAAAAAAAB3iQAAHMo4g4jpIYQAAGm+IYQAAEPJAAArhAAABochhCGEAAAMRQk0AAAAABm8KBIAACgSAAAZvBm841kAAAAAMaY28CBGDnQAAAAAdkykUgAADnSHrAyoAABOTDbwGbwAACGEDEUAABm8AABIUAAATkxpvhcAAADR+QAADKhogQAADEUAAAAAAAAAAEU/AABOTAAAAACkUhJ8FwAAABXDpFIhhBm8//8AAA50AACZChm8AAAAAAAABUoVwxm8AAAMRdH5AAD0twAAAAAZvAAA3TcAAAAATkwZvJwHAAAZvBm8AAAAACBGAAAAAAAAAAAAAAAAAjwAAAAAFcMAAAxFAAAgRgAAAAAAAAAAAAAAAJpJAAAAAE5MAACkUqDsAAAZvAAAGbwAAAAAAAAhhBm8GbwAAP//KBIAACBGAABO9AAART9OTA+ynAcAAKRS//8XAAAAAADR+Rm8AAAMRQAAFcP//wAAGbwAAP//GbzTNgAA//8AAAI8AAAAAAAAQ8kZvAAAAACcB///Q8kgRgAAoOwAAAAAAAAZvAAAAACkUgAAAAAAAAI841mkUgAAGbweCAAAGbwAAAAABof//wAAqdMAAAAAAAAZvAAAAAAAAAAApFIAACgS//9atQAAGbwAABm8GbwAAAAATkwAABm8WrVOTAAAAAAZvA50AAAAAAAA41kAAAAADEWkUgAAD7IhhHeJAADklgAAAAAMRURDAABAWyI+o/1OTEPJAAArhAAAAABDyQAATkwAAAAAAAAZvP//h6wAAAxFQ8kAAAAAmkmp0wAAAP8AADnA0zakUp5fAAAnIyhgAAAAAP//AAAZvAAAAAAAAAAAAAAAAE5MKBIAADiDD7JGfEZ8Q8lGfAAATOkgRgAAAADFanZMAAAAAAAAAABFPxm8AAAZvIjpAAAAAAAAAP8F7RO5TkwAAE4mAAAZvI48AADklgf4GbwAABJ8dkwAACGEKBIAAAAAAAAAAAAAAABDyURDAAAAAAAADnQAAAAAdkwAAFvyAAAAAAAAGbwAAA50AAAoEgAAGbwAABm8AAAAAAAAAAAAAAAAAAB2TAAAAABGfAAA0zYgRgAApFKI6QAAqdMAABm8AAAAAAAATvQZvAAAAAAAAAAAAAAnIxm8GbwZvNH5Be0VwwAARENDySGEGbwSfAAAAAAAACgSdkwhhDiDGbwgRgAAAACM/8VqAAAPsgAAGbwAAAAAGbwoEgAAJyMAAAAAAAAPsgXtdkwAAHZMBK8AABcADEUAAAAAGbwcygAAGbwAAAAAGbwAAAXtAAAAAAVK//8TuQAA//8AAAAAAABOJgk0dkwAAAAAAAAZvBm8DEUhhAAAAAAgRkPJAAAAAEMGAAAZvAAAAAAZvAAAAAD//0PJAAAAAHZMAAAAAP//BUoAAE5MAADTNgAAGbycB9M2AAAAAAAATiYrhAxFIEYAAIesAAAAAHeJoikZvCgSAAAAADiDAAAAABXDAAAAAASvAAAAACgSAAAAAAAAGbwAAAAAAAAAAAxFAAAAAAAAAAAAAOSWQwYVwyBG5JYcyjnAGbwVwwAAC2sZvCBGAAAgRkPJAACHrCuEFcMAAAAAqJYAAE5MaIEAACGEAAAAAAAAFwAAAAAAD7IAAAAADnQZvHZMGbwAAERDAAAnIwAAAAAAAHeJAAA5wAAAdkwAAAxFnAcAAAAAAAAAAKnTAACcB9M2AAAAABcADnQgRgxFAABM6Rm8AAAZvAAAKBIAAAAApFIAACGEAAAAAAAAAAAAAAD/AAAAAEPJD7IeCAAAAAAAAAAAQwYZvE70AAAAAAAAAAAAAAAAAAAAAEPJAAAXAA509LcAABm8AAAAAAxFIQEZvNM2AAAAAAAAGbwAABm8AAAXAE5M0fkAAHeJAAAAAAVKFwAAAAAAAABAW6RSTibELVAyFwDdNyGEFwAAAAAAKBKkUhm8AAAAAOSWAAACPCgSTkwZvCgSOcAF7U5MAADdNxm8KBIZvCcjAAAAAAAADEUAAAAAAAAAAKRSAAAZvAAATOkAADGmAAAhhAAAdkwhhAAAAAAAAOSWAABogQAAQ8kAAAAAQ8nedBm8AAAAABm8AAAhhAAAREMAAAAAAAAAACBGAADdNxm8AAAAAD8eAAAAAAAAAAAZvP//KBIAAAAAAAAAAAAAAAAAAAAAAAAZvDLkHMpDySgSAAAAAAAAAABOTAAAAAAAAAAA&lt;/dist&gt;</v>
      </c>
      <c r="K11" t="str">
        <f t="array" ref="K11">DstCreate(C10-Dst(G11)-Dst(I11),"=C10-G11-I11")</f>
        <v>&lt;dist name="=C10-G11-I11" avg="-1.71071581E+000" min="-6.46660414E+002" max="4.07067629E+002" count="1000" type="Double" ver="1.1"&gt;nuVABZ3QwVaQnbQ9zki8xmcM///Bk1w/x8yGikCp7uu3u9kJup/XBc54mKQ+wb0YPzh6FWJhiCxTCqxFz6FXyMg/ZrvnZDdz0x6s9zzZVx6/APQI0x7oF10n1p3EwbV32al0r5rvpotnDMrAmTckjKRwmbmvrLddxInijdmsxmbBw8xsF/nWqtuRUXvSW4sYOXbIpJy9vkjKcT7pydZ4UZ33xB5LFFnOS0VKcqk0zMHO+sPN4PJuIWtGxSKQcNECsA+Jc4KYa/pUdaT0b+vSK0CpVeCx44GBi1U4XIyZtgdfGlqplPad73x+v0zA5DIDwpTHzMedc7av2a56nbhq1567xZO+XHmQhxrijYkbwESojba5fSu3sXl1XqS9c5m5xDLUUM9/aWScLoOmuqanONLKdxKPNJlSiir0P5OOxldu9qAdRMDbqUrEg6bBw2xSwPGRXakz3BopwXy92iieVWKzfRGZAW6FdH+EQ559toaViM+IrJGZplJ+xfupeaCyz9TDPr33wn1SYblJhWi0Lqw+V+fzFNmOnWWrT34sqoTYUNo4WOcvqc0Wr0R2wd1mwptgratPuerfaI2Vwe3Nm7nqvsZvETENcYNuhdB1psFwecSDyRNjjvQCrzGy7bvvhzScf4473GtexrWR2ktQDo3nvrGLCKdXNL2APqF2H/Om5nx4qdFABaxCzMGsK8mU4cC4z2fx25OxGFm1s3k3nnRybdC5hYXzPuSfmcxzhD+WqZfblWiyS13Q3h7RAn/DwhWwTM71jIvPoeZDyJva2mH8lyXakJYZa0ZjLpx625PRdfCJv7zXQFxzdCq8QVXh0/9aiI/9vDxoTJ/4peR3pOUaZElYjGhMsaTFyD9j18WhlJnNzv1wk+KQjoxlw9EDlkSZHT+KR1WZ2730pnRHm57n6TvCP6jhykdAWFRosoggnxilwyAAANhnCRXNpcf4z3++RYMXo+Olg8tKy0qLJ0vGjaiDyZJVhiWsnWEcdR6tc1RoyG8vqaA7roWBL9T9a5hMj7uLcdPjN7rHnJ/U0dAO6s83c4WHdGmLCH/q2IVa9dYr10CU4P6DCY25sspvUnF1g7V1vfepM76puAKQtYv4XS+oJYcadYMzlXeqxchiQ8YS4ijVOpdqa5jSs5qSxHg985qSqgxzineP68ZDbc32zMG82IKr4HWM4ngHLMN5c4LcgdJxA7LtlU+TX6iNZCwn7ZbIpMGj7ECpTJ7V+s2tnizQgVnOUz1P6LbXzJHNfqC5bi49UUfo0XW60LvviH1yxjmsTVGmyMfMzUmeAkV79Z6wtG+bv1HVh6sJuJSmHXxMns6Uuq6yilOc+sMJtoYca2h3nJyulYLpkRCo45tplOC0LlZQ2zrMHr7ojomomocVZmWm+m3p4q+oxJSI0A5j0r6yYpThnI3nXp+1QFytxLewnY/vv26wTKN3p4md25URi1m2hsesxD3pcXeeCMav2nVcu+zNg8qomXKK7Xwndt+xqaiNfeCi2aufdTRyxpZymuTMVbqXupdWXXQq17VDv5AIOIiIp8BPRthis5waedTHe3Xwv7/FdmaChn21d8Hl0kfGa2RJxjbDtam0jWGXmRxQsiG1Uccqc76C3GNYut10f7rotOCrqrhUZFaZVbdrr2t4dcUHUEefKVsAsT2+nYThtqm2A9V1XdDEZcNuvQrT/8PNraDGobIhSkthHGh3n4qzDL1shorTbNShtC7aKKRwl+pSYdaZpeS9o7cwdW+1kOScI8OQ7bpULKeSONMe1NGJObQRVbq9xMmU4j+x+pjPvNhjWNVE56Vrb57Ou5t+AoDqwhWQnZdqn1qWqbzQ4Zwuj4asvDy/F0Z8fE1vs1Ig4cDVI2HzquZveYIJsE+X22lw1T/OUd7fdYmXcMk7kdztC2nW9KrMVV3WgOqZctEaSj/In7car8vGGpU9dCrdyrLqs66y6J5JkgTTO7gMlaLQP9VEzbnGYM1b0iacKeAGvaO5t10nkRywxH4sY9LWqqC5bWHRlavVo1SR0pJ/xSWc+ovAkt1p1pWIoArXxJrphCTlGkpyXda9o0lN6Y3UDtAvhYeJvnxNyIW5t9wDg/yZIT46TuTCFX1F4ziq76wKx8yuhULXdR6zdt7fca3HzM+VgfF6sX1fx17HKnyw5Rqc70NUkMGH24moyzp+fa8xjUGKAqK3e8nFCIWisQbLLtgVKArI8YUC0qy8IOJ2muSrudvPyMC/OaqOxZrjN+ne42hIo9vOgOqs0Xyl27KpwrXnttvLbGppagCBgZaNsA+r9Ms3WALOeGD+tImeY456nf21d1+XsK/kyX/qcdPZW2xSst2ZN3bpZ//C7DNI1ZaqlekOwyNQBnVvwkqZlyC8hMdJr4GTiahSRJBwySzEwcM6sGQ7uqe86tK3GWQkrO/UrLlJerhj2tdzjp6yclkO2WVYTL0TnklyJIxyxQcuncj1vIeIZeJ5jPDI8T+Kr4mkTeDjilPjhF94zkhY3eeiNuyUkbvvjJm5s2iWpIxd1ra5qo7J5bMGo+NIlrH6tlXVOn3gZEmEX9lXiBF+AqRwvkXzFH3bnwZe93Ik5rHbLIrQxB7V3KwJlc6x9Syn2BaaQconojHBk7uA0RnabJ0daa+GtYk84hmmHLuBz73UgMXIgYGEP5eoyYUAAAAA&lt;/dist&gt;</v>
      </c>
    </row>
    <row r="15" spans="3:11" x14ac:dyDescent="0.25">
      <c r="K15">
        <f>'Project Model'!$K$15</f>
        <v>18</v>
      </c>
    </row>
    <row r="16" spans="3:11" x14ac:dyDescent="0.25">
      <c r="K16">
        <f>'Project Model'!$K$16</f>
        <v>1</v>
      </c>
    </row>
    <row r="36" spans="1:14" x14ac:dyDescent="0.25">
      <c r="N36" t="str">
        <f t="array" ref="N36">DstCreate(Dst(D11)-K15,"=D11-K15")</f>
        <v>&lt;dist name="=D11-K15" avg="1.87036151E+000" min="-8.82803287E+000" max="2.22674095E+001" count="1000" type="Double" ver="1.1"&gt;u+q2RVhDGhtbGzomQxZFTZ5HIi06Jt8KCeFRd///NSMcgieqUXcxZTzzt4b//2VfvlmAvzsJHILfClkmHIJbGxfpnkdQ2///QjJRd///7F5lX0RqHfkORexeOwlHelsbPBeAv3pEWxueR2VfWSZbGzsJNSNs4juDTHcwv0aWOiYnhFMH3wpdSzz65/o8F1/KnWQX6TomWxtT67cpJ0dn11sbR3pbGzom3+2Av3pEHt0d+UMWPPomZDBFOiYMcQnhO4MUVh353+2dZFsbWxtHev//WxsQdxyCOwmeRxfpWxtZJp5HeTgzT4IbWxs6oN8KUwcxZTsJVs09jlPrUXeAv2CuD5RbGxk4Wxswv0MLRU0mZDdVbR9bG1Pr3+07CTUjMSgSojUjZ9c7CTsJOSo7CTomWEO8zQzHeTgoPXbDOwk7uVsb3wpKR4C/OwkmoVsbOwk7CR1mFTmeRzEoXUtxJaq4YK4XBpRmYK4e3Xk4Ghtn1xfpTVpgrmCuO2xRd09FRGoaG1sbZV8XBmVfDkVbG1sb63sXCzYGbDtwBV/KUwcxZTCCnWS+WRcGUwep1VG+OwmAv3AFWxsX6WCuUXdFTVsbPY58djBFgL+UZlkmRGrfCjEoUb6Tg0VNUXdFTRfpOwkdZnpEHaOAvxyCRWS+WVXqWSZHelhDvllgrlsb//9DFlMHGTi2RVsbQxYnhDomTHdYQ1sbRGpRd98KMWX36zEoHflbGxyC5xc6JjsJgL9bG7hpFhRbG1sbKD0wgl/KOI8UVjsJOiYX6TYGSkcAADsJWEMX6VF3MShfyjkqRU06JikhE4UMx7cpF+kcgoC/Owm+WbvqOEZbGxcGWxs7CSeqQxZgrlsbWxs7Cf//ZV87CV/KOwmBNzqJekSAv1PruGkwgr5Z//9ZJhLfOXLfClsbHOZRdzomWEP//zomWxs7Cf//Wxvf7SbH//8ThUpHMaITwjomeThbGxLfMIK4af//eThfyhOFu+o7CTsJMShbGzsJJqG+WTomQxZGlkpH63u+WTsJWxteLyahWxs88zFlTVr//zomwkpCMidHOiZbGzYGDMdGlh3Jvlk4RmVf//+JokSBWxs7CVsbWxsVMTsJgL86JlsbiaKAvw+UOwlbG1MHDkVFTTsJ63sX6UInUXe+WUInU+tgrp5HJ6rsXjsJRpZRd3mPDMd2w2EzvhyAv3k4Owln10RqFwZ5OCdHgL87CRcGOwlbG///qdVHelF3eTgnRzsJtynCSkaWSWQnhHII3+2+WboWOwlktGWXHWYwRf//FhRbGzFlOiY7CTsJIi1FTYC/ZV9FZHElU+t7J3sneTh7JyFKf8FfyhB3GhvWDJ1kMWU6JiZkOiZ6RFsbOiZbG6q4NSNGlieESWRM7FbNgL8wRYCkCMBbG66IE8LsXk5iWxtFTVXqnWQ7CWCuZV8doxYUQjIxZT/AOiZ5OHmPOwk7CTomUwcNYjrWnWQnR4qFJmQVOQ1iWxsX6VMHO4NlXyZkWxs7CVsbOqAwRR1mOwlEakIyQjKdZBcGF+l7Jzom3+1fyjomvlmquDomwkoxZVsbMSg7CTsJgTdbGzEoMII6JkIyJ4RktFsbWxtbG98KTOxYQzFleY95OGCuWxtV6jomHWYcgmVfnWRgrnElWxtfyieqOiatpdYMIFlT6zomWxswghzAWxtlXzuDZLQ7CRfpPY5T60zsnWQ7CZ1kTAgxKFkmUXcJpAmkWxtdSzomWxsX6Ud6WxsTwkzsOwlDnkx3//9WzTyq//9FTR35FFaApE9FnWQ6JhyCOolbG1sbUXdgrkd6MKhfynk4HfkX6XisOI9bGzsJOwlbGx35RGr//3k4OSo9jp1kOiY7Cf//THcwgoC/MWXf7TBFWxu4ad/tHt0X6Q2qgKRn11F3X8pEaqnVE+hFTZ5HvM1bG2VfOiYnR3ElOiYxKFhDF+k1I0wIOiYfdWVfOwkxZTBFWxs7CRKiHWY8qlF3OwlDCztsMIIZOOxeeKxYQ1/K7F5dS3IIWxtYQzFlUNtbG1/KOwlfynk4Fwap1WfXWENEahOFwWcnqoC/k4MxZWCuJ6pHeidHWSZDCxyCU+s6JkaWUwdbG51kWxs883mPFwZktDsJMWVDFp5HRpZyCA2qnWQI/lF3uGk9jjomHt0wgsJKRU24ad/tPPMX6VkmUwdfylF3J0d/wVsbGhtbGxcGZV87CUVNvlkThWCuRIE6oCN8OiY6JklkJqETwnk4U+teL0RqPdZHeg5FeKxbG4E3E4UnRyZkOwk6JjFlOwk7CXk4O4NZJlMH9+sxZVsbOwk6JlF3YFBbG9/tH3VFTSZkWxsX6VsbOiZZJoC/3wpDFp5HR3oTwkx3WSY0MjomOiZ2w75ZgKTVKYIbWSbnF2CuWSY6JkIyZV++WVsbRU0ThexeOwlKR2VfgL9bG2VfcghM7IC/F+nnF1sbZV9bG2S0RGo7CTsJUXcVMQMjHt0X6b5ZHflbGwQGf8Exi2w7HflgrjUjnWRgrhfpFwYxKOxeMWWTgzdVeTg7CThGeTjn+lsbMIJFTVsbQjJgrjC/eY86JkIyMWUXC1/KOwnnF1sbRU0J4XXgRpYnqkOeOwlbG///ZV8/wBKiQ54cgjqJJ6pGlkInOwlbG20fXUt5OGVfMWUJ4TsJQxaAvxyCHfkAAAAA&lt;/dist&gt;</v>
      </c>
    </row>
    <row r="37" spans="1:14" x14ac:dyDescent="0.25">
      <c r="A37">
        <f>'Project Model'!$A$37</f>
        <v>0</v>
      </c>
      <c r="C37" t="str">
        <f xml:space="preserve"> 'Project Model'!$D$42</f>
        <v>&lt;dist name="MN" avg="1.20000000E+001" min="7.18770000E+000" max="2.83877000E+001" count="1000" type="Double" ver="1.1"&gt;//+ftDpPDiMOIw4jDiMdMp+0HTIOI///AAAAAP//Ok8OIx0yAAAAAAAA/////x0yn7RFWg4jDiP//zpPDiMOIw4jn7QdMv//DiMAAP////8dMh0yDiMAAP//DiMOIw4jOk9FWp+0DiOftB0yOk8OIw4jOk+ftDpPHTI6Tw4jDiMAAA4j//8dMjpP//86T0Van7QOIw4jDiMOI5+0DiNFWg4jDiMOIw4j//9FWp+0DiMOIw4jOk8OIw4jDiMAAAAAOk8AAA4j//+ftA4jDiMOI///DiMAAA4jDiOftA4jDiM6T5+0Ok86T5+0DiM6T///DiMAAA4jRVpFWg4jAABFWkVaAAAOIw4jDiM6T0VaHTIOIzpPRVoOIw4j//8OIzpPDiMOIzpPRVoOIw4jRVoOIw4jOk///w4jOk8dMp+0DiNFWg4j//8AAEVaDiMAAA4jDiMOIw4jAACftA4jHTI6T5+0RVoOI5+0RVoOIzpPDiNFWg4jHTJFWkVaHTIAADpPHTIOIw4jHTIOIx0yAAAOIw4j//8dMjpPRVqftEVaDiMAAAAAn7SftA4jDiOftB0yDiNFWp+0DiMOI0VaAAAdMg4jRVqftA4jRVqftDpPHTL//w4jHTKftB0yAAAdMg4jDiMOI5+0AABFWg4jOk+ftEVaOk8OIzpPn7RFWg4j//8OIw4jDiOftA4jDiMAAA4jHTI6Tw4jHTIAAP//AAD//w4jDiMOIw4j//8OIw4jRVoOI///DiMOIw4jHTIAAEVaAAAAAA4jDiMOIzpPAAAAAA4jOk8OIwAADiNFWkVaHTIOIx0yDiMOI5+0DiMOI0VaDiOftP//RVoOIw4jDiMOIx0yDiNFWg4jDiMOI///HTIOI0VaDiOftB0yn7RFWg4j//8AAJ+0//86TwAAAAD//w4jHTIAAA4jOk///w4jDiMOI///DiP//x0y//8OIwAAOk8AAA4jOk8OIwAAAAD/////Ok9FWg4j//8OIw4jDiMOIw4jAACftA4jDiMOIwAA//+ftA4jDiMdMgAADiMAAAAAHTL//w4j//8OIw4jDiMOIzpPDiMOIx0yn7RFWh0y//+ftDpPDiMOIw4jDiMOIw4jRVoOIw4jn7RFWgAADiMOIw4jAAAdMg4j//8OI0VaAACftEVaDiNFWp+0HTL//w4jDiMAAEVaDiOftDpP//9FWjpPDiNFWh0yDiM6Tw4jRVoOIw4jDiMOI///n7QOIwAAOk8OIw4jn7T//w4jAAAAADpP//+ftP//DiM6TzpPDiMOI///DiMOIwAADiMOIw4jHTIdMkVaHTI6TzpPDiOftJ+0Ok+ftB0yn7RFWgAADiP//5+0AAAOIw4jDiOftA4jDiMOI5+0Ok8OIwAAAABFWkVaRVoOI5+0DiMOI///AAD//zpPDiMdMkVan7QOI0VaHTIAAA4jDiMAAEVaDiM6T0VaDiMOIw4jDiMAAEVan7QOI5+0DiMAAAAADiMOIw4jOk8dMg4jDiMOIw4jOk8OIw4jDiMdMg4jDiOftA4jDiOftA4j//9FWg4jn7SftA4j//8AAA4jDiMOIw4jn7QOIw4jAAAOIw4jAAA6Tw4jDiMOI///RVo6TwAARVo6T0VaDiNFWg4jDiMOIx0yn7RFWjpPDiNFWh0yDiP/////HTIOIw4jDiMAAAAADiMdMjpPOk8OIw4jRVoOI0Van7QOI5+0RVoOIzpPAAAOIw4jDiMdMg4jDiMOIw4jDiMAAEVaDiNFWh0y//9FWkVa//8dMg4jAACftDpPn7QOIw4jHTIOIw4jAABFWg4jHTJFWjpPDiMOI0VaAAAOIw4jDiMOIw4jHTL//zpPRVpFWp+0DiMOI///HTIAAEVaAAD//w4jDiP/////DiMOIw4jn7RFWgAARVodMp+0HTIdMp+0//8OIx0yDiMOIzpPDiMOIzpPDiM6T0VaDiMdMh0yDiMAAA4jDiMOIw4jDiNFWgAADiNFWh0yAAAOI///RVo6T0Va//8dMjpPDiM6TwAAHTIOI0VaDiNFWjpPDiOftEVaOk8dMg4j//8dMkVan7QAAEVaHTIOIw4jOk9FWg4jDiMOIw4jDiMOI5+0DiMAAEVaDiM6Tw4jAAAOI5+0DiM6Tw4jn7QAAAAA//9FWg4jDiMAAP//HTL/////AAAOIzpPDiNFWgAADiOftA4jDiMOIw4jHTIOIx0yn7QOI0VaOk86Tx0yDiMOIwAAAAAAADpPDiMdMh0yAAAOIwAARVoOI5+0DiMOIw4jDiMOIwAADiMOIzpPOk86Tw4j//8AAA4jDiMOIwAAOk8OI///HTIdMg4jDiMOIw4jDiM6T0Va//8OI5+0DiMAAB0yOk86Tw4jDiOftJ+0n7T//5+0Ok///0VaOk8OIw4jHTKftA4jHTIOI///DiMAAB0yRVoOIx0yOk9FWkVaDiP//w4jHTIOIzpPHTIOIw4jAAAOIwAADiMOI5+0DiMOIwAAn7QdMkVaDiNFWjpPn7RFWg4jDiMOI///AACftDpPOk8OI0VaOk///w4jAAAdMg4jDiNFWjpPRVoOIw4jAAAdMkVaDiP//w4jHTIAAJ+0DiMdMkVaDiMOI///HTJFWg4jRVoOIx0yHTIOI0VaDiMOI0VaHTI6Tx0yAAAAAA4jDiNFWg4jDiMAAAAA&lt;/dist&gt;</v>
      </c>
      <c r="G37" t="str">
        <f>H39</f>
        <v>&lt;dist name="MN" avg="1.20000000E+001" min="7.18770000E+000" max="2.83877000E+001" count="1000" type="Double" ver="1.1"&gt;//+ftDpPDiMOIw4jDiMdMp+0HTIOI///AAAAAP//Ok8OIx0yAAAAAAAA/////x0yn7RFWg4jDiP//zpPDiMOIw4jn7QdMv//DiMAAP////8dMh0yDiMAAP//DiMOIw4jOk9FWp+0DiOftB0yOk8OIw4jOk+ftDpPHTI6Tw4jDiMAAA4j//8dMjpP//86T0Van7QOIw4jDiMOI5+0DiNFWg4jDiMOIw4j//9FWp+0DiMOIw4jOk8OIw4jDiMAAAAAOk8AAA4j//+ftA4jDiMOI///DiMAAA4jDiOftA4jDiM6T5+0Ok86T5+0DiM6T///DiMAAA4jRVpFWg4jAABFWkVaAAAOIw4jDiM6T0VaHTIOIzpPRVoOIw4j//8OIzpPDiMOIzpPRVoOIw4jRVoOIw4jOk///w4jOk8dMp+0DiNFWg4j//8AAEVaDiMAAA4jDiMOIw4jAACftA4jHTI6T5+0RVoOI5+0RVoOIzpPDiNFWg4jHTJFWkVaHTIAADpPHTIOIw4jHTIOIx0yAAAOIw4j//8dMjpPRVqftEVaDiMAAAAAn7SftA4jDiOftB0yDiNFWp+0DiMOI0VaAAAdMg4jRVqftA4jRVqftDpPHTL//w4jHTKftB0yAAAdMg4jDiMOI5+0AABFWg4jOk+ftEVaOk8OIzpPn7RFWg4j//8OIw4jDiOftA4jDiMAAA4jHTI6Tw4jHTIAAP//AAD//w4jDiMOIw4j//8OIw4jRVoOI///DiMOIw4jHTIAAEVaAAAAAA4jDiMOIzpPAAAAAA4jOk8OIwAADiNFWkVaHTIOIx0yDiMOI5+0DiMOI0VaDiOftP//RVoOIw4jDiMOIx0yDiNFWg4jDiMOI///HTIOI0VaDiOftB0yn7RFWg4j//8AAJ+0//86TwAAAAD//w4jHTIAAA4jOk///w4jDiMOI///DiP//x0y//8OIwAAOk8AAA4jOk8OIwAAAAD/////Ok9FWg4j//8OIw4jDiMOIw4jAACftA4jDiMOIwAA//+ftA4jDiMdMgAADiMAAAAAHTL//w4j//8OIw4jDiMOIzpPDiMOIx0yn7RFWh0y//+ftDpPDiMOIw4jDiMOIw4jRVoOIw4jn7RFWgAADiMOIw4jAAAdMg4j//8OI0VaAACftEVaDiNFWp+0HTL//w4jDiMAAEVaDiOftDpP//9FWjpPDiNFWh0yDiM6Tw4jRVoOIw4jDiMOI///n7QOIwAAOk8OIw4jn7T//w4jAAAAADpP//+ftP//DiM6TzpPDiMOI///DiMOIwAADiMOIw4jHTIdMkVaHTI6TzpPDiOftJ+0Ok+ftB0yn7RFWgAADiP//5+0AAAOIw4jDiOftA4jDiMOI5+0Ok8OIwAAAABFWkVaRVoOI5+0DiMOI///AAD//zpPDiMdMkVan7QOI0VaHTIAAA4jDiMAAEVaDiM6T0VaDiMOIw4jDiMAAEVan7QOI5+0DiMAAAAADiMOIw4jOk8dMg4jDiMOIw4jOk8OIw4jDiMdMg4jDiOftA4jDiOftA4j//9FWg4jn7SftA4j//8AAA4jDiMOIw4jn7QOIw4jAAAOIw4jAAA6Tw4jDiMOI///RVo6TwAARVo6T0VaDiNFWg4jDiMOIx0yn7RFWjpPDiNFWh0yDiP/////HTIOIw4jDiMAAAAADiMdMjpPOk8OIw4jRVoOI0Van7QOI5+0RVoOIzpPAAAOIw4jDiMdMg4jDiMOIw4jDiMAAEVaDiNFWh0y//9FWkVa//8dMg4jAACftDpPn7QOIw4jHTIOIw4jAABFWg4jHTJFWjpPDiMOI0VaAAAOIw4jDiMOIw4jHTL//zpPRVpFWp+0DiMOI///HTIAAEVaAAD//w4jDiP/////DiMOIw4jn7RFWgAARVodMp+0HTIdMp+0//8OIx0yDiMOIzpPDiMOIzpPDiM6T0VaDiMdMh0yDiMAAA4jDiMOIw4jDiNFWgAADiNFWh0yAAAOI///RVo6T0Va//8dMjpPDiM6TwAAHTIOI0VaDiNFWjpPDiOftEVaOk8dMg4j//8dMkVan7QAAEVaHTIOIw4jOk9FWg4jDiMOIw4jDiMOI5+0DiMAAEVaDiM6Tw4jAAAOI5+0DiM6Tw4jn7QAAAAA//9FWg4jDiMAAP//HTL/////AAAOIzpPDiNFWgAADiOftA4jDiMOIw4jHTIOIx0yn7QOI0VaOk86Tx0yDiMOIwAAAAAAADpPDiMdMh0yAAAOIwAARVoOI5+0DiMOIw4jDiMOIwAADiMOIzpPOk86Tw4j//8AAA4jDiMOIwAAOk8OI///HTIdMg4jDiMOIw4jDiM6T0Va//8OI5+0DiMAAB0yOk86Tw4jDiOftJ+0n7T//5+0Ok///0VaOk8OIw4jHTKftA4jHTIOI///DiMAAB0yRVoOIx0yOk9FWkVaDiP//w4jHTIOIzpPHTIOIw4jAAAOIwAADiMOI5+0DiMOIwAAn7QdMkVaDiNFWjpPn7RFWg4jDiMOI///AACftDpPOk8OI0VaOk///w4jAAAdMg4jDiNFWjpPRVoOIw4jAAAdMkVaDiP//w4jHTIAAJ+0DiMdMkVaDiMOI///HTJFWg4jRVoOIx0yHTIOI0VaDiMOI0VaHTI6Tx0yAAAAAA4jDiNFWg4jDiMAAAAA&lt;/dist&gt;</v>
      </c>
      <c r="H37" t="str">
        <f>C39</f>
        <v>&lt;dist name="MR2" avg="6.00000000E+000" min="5.46376197E-001" max="1.18797095E+001" count="1000" type="Double" ver="1.1"&gt;K4ZWsTuWTaj//02ovhioAqgCR6Ige1q1O5b//8okAAA7llax//+oAr4YIHv///////+oAqgCO5ZNqKgCIHtWsUeiqAIge///AAD//6gCyiRatSB7K4ZHosokqALKJKgCR6L//zuW//+oAiuGqAJCnagCQp0ge1axVrEge0eiO5aM5yB7VrFatVq1vhgge0eiccxHolaxK4bsRuxGccxNqP//yiRNqFaxqAL//wAAWrU7lr4YWrVNqDuWccxCnTuWVrFCnUKdqAIrhv//R6LKJP//jOdNqDuWqAKoAkei//+oAqgC//8AAFq1AAArhoznqAKoAqgCjOdHouxG//87lqgCAAA7liuGqAIge1axqAJWsUeiyiT//+xGqAKoAkKdjOcgezuWqAKoAqgCO5aoAgAAVrFHogAA//9HojuWqAJCnf//IHvsRv//qAI7lkKdqAKoAlaxWrWoAoznqAJNqMokqAIAAIznqAJatagCTahHokeivhioAqgCjOf//4znIHtNqP////9CnUeiR6L//zuWR6Ige0eiO5YAACB7qAKoAiB7jOf//zuWjOdHosokqAL//wAAO5ZHoqgC//+oAjuWR6JHokKd//+M56gCQp1HooznyiRatagC//+oAkeiqAJWsTuWccz//yB7ccz//3HMqALKJHHMqAKoAv//Tai+GHHMO5ZWsVq1vhiM5yB7IHtHov//R6JHojuWqAKoAoznTaj//0eiVrEge6gC/////zuWQp1Wsf//VrEge4znqAJWsagCR6JHokei7EYge6gCO5ZHoqgCjOdatTuWqAJHolq1O5Yge+xGR6IAAKgCqAIAACB7IHv//zuW//+oAlaxvhioAv////+oAv////+oAkeiqAJNqAAAK4b//+xGO5Zatf//AACoAjuWvhg7lv//K4b//1axK4Y7lk2o//+oAqgCK4aoAjuW//87luxGO5ZWsVq1/////zuWO5Y7lv////9HojuWO5aoAqgCjOf//6gCO5b//wAAvhg7luxGAABatagCIHvsRlq1//8ge6gCvhj//0KdVrE7lnHMO5aoAkeiIHsAADuW//8ge///AAA7llax//+oAiB7//87lqgC//9HoqgCR6KoAkKdqAK+GDuWR6KoAqgCAABHoiuG//8geyuG7EaoAqgCVrHKJKgCIHtWsexGIHs7lr4YQp0AAP//qAJWsVq1Qp3//3HM//+oAiuGqAL/////VrHKJCuG7EZxzKgC7EZWsU2oqAKM5+xGqAKoAiB7qAKoAsokVrFCnf//Qp3//6gCR6KoAqgCR6KoAv////9xzFax7EZHokeiAABHokKdK4ZHok2oTaiM5yB7qAIAAEKdAAA7lv//Taj//8okO5aoAoznQp1xzIznqAJNqFaxAAD//yB7VrHKJCB77EaoAnHMR6KoAqgC//9xzEKdR6KoAk2oVrE7luxGqAKoAkeiccwgewAAQp1xzHHMR6JatTuWVrFHolq1VrH//1axqAKoAjuWQp1CnVaxqAJNqEeiR6I7ljuWR6JHolaxqAJHojuW///KJEeiVrGoAv//jOeoAqgCIHuoAoznAAAge1axjOc7lqgC//+M50KdccyM56gC7EaoAqgCqAJWsUeiVrFNqE2oWrWoAsokqAJWsVaxjOcAAIznQp3sRkKdIHsgeyuG//9HolaxccyoAkeiR6LsRnHMR6KoAiB7O5aM56gC//8geyB7//+oAiB7//9Hosok//9WsXHMqAI7ljuW//+M5zuWqAKoAiuGR6JWsYznTahxzCB7O5Yge4znO5aoAsokIHuM5///R6JHor4YqAL//6gCqAKoAjuWVrH/////O5ZHoiB7Qp2oAv//IHs7lv//qAKoAkeivhg7lqgCWrVHoiuGVrEge8okVrErhiB7IHuoAqgCR6L//zuWVrFxzDuWAACM502oR6IgezuWTagAAP//qAKoAiB7//+oAiuGVrErhv//qAJWsYznO5Yge8okAABHoiB7yiRatexGvhg7lqgCQp3//yB7qAJHolaxQp0ge0eiccwAADuWO5ZWsf//O5aoAqgCVrHKJHHMqAJWsUKd7EYrhiB7Qp3//02oqAKM5+xGAABNqKgCqAK+GKgCTajsRiuGIHsge///O5ZHokeiWrVHolaxqAI7lqgCQp1HoqgCyiQrhlq1ccxHov//Taj//yuGVrGoAqgCTag7lqgCIHs7lkeiR6JWsSB7AABWsf//7EbsRiuGyiTKJEeivhj//zuWO5ZxzE2oqAIAAKgCqAKoAuxGVrGoAiB7O5aoAiB7qAIge///VrH//6gCK4aoAlq1IHtHokKdR6KoAv//K4a+GKgCyiRWsUeiqAJCnVaxWrU7lqgCVrFNqFq1qAI7lqgCqAIgeyB7jOf//3HMqAI7lsokqALsRkei//87lv//7EZxzP//R6JxzP////87lqgCVrGoAqgC//8geyB7WrVHov//Taj//yuGK4ZxzKgCK4aoAgAATaioAkeiO5aM58okqAI7lkei//+oAiB7ccy+GOxGO5aoAv//VrGoAiB77EZxzKgCqAIge1axqAI7ljuWqAI7liB7O5ZWsSB7qAIrhqgC//9NqCB7O5Yge1axVrErhjuWqAL//8okR6I7loznqAI7lqgCvhg7lk2oO5YAAAAA&lt;/dist&gt;</v>
      </c>
      <c r="I37" t="str">
        <f t="array" ref="I37">DstCreate(DstMax(H37:H38),"=MAX(H37:H38)")</f>
        <v>&lt;dist name="=MAX(H37:H38)" avg="7.87036155E+000" min="1.87650007E+000" max="1.18797095E+001" count="1000" type="Double" ver="1.1"&gt;LFzm5JmMNfH//5mMtVWcT5xPLx6ZjJmMIXj/////LFw9a0Au//+cT8A4Hrb//////////5xPPWuZjJxPPWv//y8enE/AOP//spL/////wvv//5mMQfgvHsL7nE/C+///Qfj//yxc//+cT///nE///5xPLFwCwkAuspIetsA4mYx9mebkmYzm5ES7tVVB+JmMmYwvHpmM///pp+mnXuSykv//wvv//5mMnE///yxcRLtB+LVVRLtcIXrXmYwpbiF4QC5B+EH4nE+ZjP/////C+/////818T1rnE+cTy8e//+cT5xP//8mrES7//89a5mM5uScT5xPfZkvHumn/////5xPMy///zMv//8etkAunE9cITMvwvv//+mnnE+cTyxcfZketixcspKcT5xPIXicT5mMmYwvHgyD//9B+CF4nE8pbv//mYzpp///nE961///nE+cT0AuRLucT32Z5uTm5ML7nE8sXH2ZnE9Eu///NfGyki8etVWcT5xPfZn//32ZmYw18f////8sXP//Lx7/////wDgMgy8ewDgMg5mM5uScT5mMmYz//yxc5uTAOML7nE///wyD//8vHpxP//+cT///Lx4zL3rX//99mZxPmYyZjH2Zwvt615xP//+cTy8enE9ALixcXuT//z1rXuT//3rXnE/C+5mM//+cT/////+1VebkMy/m5P//tVV9mZmMspKZjP//mYz//5mMnE/m5H2ZQfj//z1rspKZjJxP/////yF4KW7/////QfiZjJmMspJB+JxPmYwvHi8e6acCwpxPmYwvHv//fZmZjCF4nE+ZjES7IXgMg+mnLx49a///nE///yxcHrb//yxc//+cT0AutVWcT/////+cT/////+cT5mMnE9B+HrXLFz//+mnIXiZjP////+cTz1rtVWZjP//Hrb//5mMmYz//5mM//+cT/////+cTz1r//8heOmnIXhALpmM/////z1rmYwheP////+ZjCF4LFycT5xPfZn//5xPetf//5mMtVXAOOmnwDj//5xP///pp3rX///AOJxPtVX//5mMQC6ykl7kmYz//y8eDIPAOCF4//8etv////9cIVwh//+cT/////8mrJxP//+ZjP//XCH//zMvnE///+bkLx6cT5xPwDgvHj1r/////z1r6aecT5xPQC7C+5xPwDj//+mnDIMheLVVMy//////nE+ykpmMLFz//17k//+cTyxcnE//////wDjC+/////9e5JxP6adALsA45uR9memnnE///yasnE/AOML7QC561///KW7//5xPmYycT5xPLx6cT/////9e5Obk6acvHi8e//8vHixcPWuZjDXxNfF9mZmMnE+ZjFwhmYwsXP//mYz//8L7LFzAOH2Z5uRe5H2Z//9610AuAAD//wLCQC7C+3rX//+cT3rXmYycT5xP//9e5CluspKcTzXxmYz//+mnnE+cT5mM5uQsXCasmYxe5F7kXCFEuyxc//8vHubkQC7//1wh//+cT///PWt610AunE+ZjLKSspKZjCxcLx4vHpmMnE+ZjJmM///C+5mMQC6cT///fZmcT5xPQfj//32ZmYyZjLKSfZnAOP///////5mMXuSZjJxP6af//5xP//9615mMQC49a///mYycT+bk//+ZjEAumYwAAH2ZKW7pp5mM//+ZjFwh/////0AuwDicTy8eLx7pp17kmYycT5mMXCF9mZxP//8CwgLC///m5JmM//8vHsL7//9ALl7knE9B+LKS//99mSxc//+cT0H4QfhALn2ZmYyZjD1retf///////+cT8L7XCGZjP//QfgvHubkspL//5xPnE///0H4mYz/////IXgvHpmMmYycT///spKZjP//nE+cT3rX//8heJxPRLsvHg9FQC6ykv//mYyZjMA4AsKcT5xPLx7/////mYxe5ObkmYx9mZmMLx4sXFwhmYwmrP//nE+cT3rX//+cTx62QC4sXP//nE9ALn2ZmYwzL8L75uSZjJmMwvvm5Omn//+ZjJxPwDj//5mMnE+ZjP//LFzAOLKSmYyZjCF4PWtALv//etecT5xPQC7C+17knE9ALj1r6aeZjMA45uT//5mM///AOOmnLFzAOJxPnE+1VZxPwDjppw9FmYwetv//IXgvHpmMRLuZjEAunE8heJxPwDgvHpxP5uSZjP//XuQ9a///NfH//yxc//+cT5xP//8heJxPXCE9azMvmYyZjObketdALv//6afpp5mMwvvC+y8e5uT//0H4IXhe5FwhnE+ZjJxPnE+cT///QC6cT+bk5uScT///nE+ZjP//spL//5xPJqycT1wh//8vHv//mYycT///mYy1VZxPwvtALrKSnE8pbpmMmYwheP//QC5610S7nE+ykpxPnE+ZjLKS////////nE8heML7nE/pp///////////6ade5P//Lx6ykv///////8A4mYycT5xP//8mrAyDRLsvHv//Qfj//w9FPWte5MA4QficTyxcmYycTy8eLFx9mcL7nE961zMv//+cTx62//+1Vf//mYycT///spKcTx626aeZjLKSnE8Mg5mMnE+ykv//nE8heB62wDhALkH4nE////////818R62Qfg9a3rXQC7AOD1rnE///8L75uT/////nE8heJxPtVX//z1rQfgAAAAA&lt;/dist&gt;</v>
      </c>
      <c r="J37" t="str">
        <f t="array" ref="J37">DstCreate(Dst(G37)+Dst(I37),"=G37+I37")</f>
        <v>&lt;dist name="=G37+I37" avg="1.98703615E+001" min="9.17196713E+000" max="4.02674095E+001" count="1000" type="Double" ver="1.1"&gt;u+q2RVhDGhtbGzomQxZFTZ5HIi06Jt8KCeFRd///NSMcgieqUXcxZTzzt4b//2VfvlmAvzsJHILfClkmHIJbGxfpnkdQ2///QjJRd///7F5lX0RqHfkORexeOwlHelsbPBeAv3pEWxueR2VfWSZbGzsJNSNs4juDTHcwv0aWOiYnhFMH3wpdSzz65/o8F1/KnWQX6TomWxtT67cpJ0dn11sbR3pbGzom3+2Av3pEHt0d+UMWPPomZDBFOiYMcQnhO4MUVh353+2dZFsbWxtHev//WxsQdxyCOwmeRxfpWxtZJp5HeTgzT4IbWxs6oN8KUwcxZTsJVs09jlPrUXeAv2CuD5RbGxk4Wxswv0MLRU0mZDdVbR9bG1Pr3+07CTUjMSgSojUjZ9c7CTsJOSo7CTomWEO8zQzHeTgoPXbDOwk7uVsb3wpKR4C/OwkmoVsbOwk7CR1mFTmeRzEoXUtxJaq4YK4XBpRmYK4e3Xk4Ghtn1xfpTVpgrmCuO2xRd09FRGoaG1sbZV8XBmVfDkVbG1sb63sXCzYGbDtwBV/KUwcxZTCCnWS+WRcGUwep1VG+OwmAv3AFWxsX6WCuUXdFTVsbPY58djBFgL+UZlkmRGrfCjEoUb6Tg0VNUXdFTRfpOwkdZnpEHaOAvxyCRWS+WVXqWSZHelhDvllgrlsb//9DFlMHGTi2RVsbQxYnhDomTHdYQ1sbRGpRd98KMWX36zEoHflbGxyC5xc6JjsJgL9bG7hpFhRbG1sbKD0wgl/KOI8UVjsJOiYX6TYGSkcAADsJWEMX6VF3MShfyjkqRU06JikhE4UMx7cpF+kcgoC/Owm+WbvqOEZbGxcGWxs7CSeqQxZgrlsbWxs7Cf//ZV87CV/KOwmBNzqJekSAv1PruGkwgr5Z//9ZJhLfOXLfClsbHOZRdzomWEP//zomWxs7Cf//Wxvf7SbH//8ThUpHMaITwjomeThbGxLfMIK4af//eThfyhOFu+o7CTsJMShbGzsJJqG+WTomQxZGlkpH63u+WTsJWxteLyahWxs88zFlTVr//zomwkpCMidHOiZbGzYGDMdGlh3Jvlk4RmVf//+JokSBWxs7CVsbWxsVMTsJgL86JlsbiaKAvw+UOwlbG1MHDkVFTTsJ63sX6UInUXe+WUInU+tgrp5HJ6rsXjsJRpZRd3mPDMd2w2EzvhyAv3k4Owln10RqFwZ5OCdHgL87CRcGOwlbG///qdVHelF3eTgnRzsJtynCSkaWSWQnhHII3+2+WboWOwlktGWXHWYwRf//FhRbGzFlOiY7CTsJIi1FTYC/ZV9FZHElU+t7J3sneTh7JyFKf8FfyhB3GhvWDJ1kMWU6JiZkOiZ6RFsbOiZbG6q4NSNGlieESWRM7FbNgL8wRYCkCMBbG66IE8LsXk5iWxtFTVXqnWQ7CWCuZV8doxYUQjIxZT/AOiZ5OHmPOwk7CTomUwcNYjrWnWQnR4qFJmQVOQ1iWxsX6VMHO4NlXyZkWxs7CVsbOqAwRR1mOwlEakIyQjKdZBcGF+l7Jzom3+1fyjomvlmquDomwkoxZVsbMSg7CTsJgTdbGzEoMII6JkIyJ4RktFsbWxtbG98KTOxYQzFleY95OGCuWxtV6jomHWYcgmVfnWRgrnElWxtfyieqOiatpdYMIFlT6zomWxswghzAWxtlXzuDZLQ7CRfpPY5T60zsnWQ7CZ1kTAgxKFkmUXcJpAmkWxtdSzomWxsX6Ud6WxsTwkzsOwlDnkx3//9WzTyq//9FTR35FFaApE9FnWQ6JhyCOolbG1sbUXdgrkd6MKhfynk4HfkX6XisOI9bGzsJOwlbGx35RGr//3k4OSo9jp1kOiY7Cf//THcwgoC/MWXf7TBFWxu4ad/tHt0X6Q2qgKRn11F3X8pEaqnVE+hFTZ5HvM1bG2VfOiYnR3ElOiYxKFhDF+k1I0wIOiYfdWVfOwkxZTBFWxs7CRKiHWY8qlF3OwlDCztsMIIZOOxeeKxYQ1/K7F5dS3IIWxtYQzFlUNtbG1/KOwlfynk4Fwap1WfXWENEahOFwWcnqoC/k4MxZWCuJ6pHeidHWSZDCxyCU+s6JkaWUwdbG51kWxs883mPFwZktDsJMWVDFp5HRpZyCA2qnWQI/lF3uGk9jjomHt0wgsJKRU24ad/tPPMX6VkmUwdfylF3J0d/wVsbGhtbGxcGZV87CUVNvlkThWCuRIE6oCN8OiY6JklkJqETwnk4U+teL0RqPdZHeg5FeKxbG4E3E4UnRyZkOwk6JjFlOwk7CXk4O4NZJlMH9+sxZVsbOwk6JlF3YFBbG9/tH3VFTSZkWxsX6VsbOiZZJoC/3wpDFp5HR3oTwkx3WSY0MjomOiZ2w75ZgKTVKYIbWSbnF2CuWSY6JkIyZV++WVsbRU0ThexeOwlKR2VfgL9bG2VfcghM7IC/F+nnF1sbZV9bG2S0RGo7CTsJUXcVMQMjHt0X6b5ZHflbGwQGf8Exi2w7HflgrjUjnWRgrhfpFwYxKOxeMWWTgzdVeTg7CThGeTjn+lsbMIJFTVsbQjJgrjC/eY86JkIyMWUXC1/KOwnnF1sbRU0J4XXgRpYnqkOeOwlbG///ZV8/wBKiQ54cgjqJJ6pGlkInOwlbG20fXUt5OGVfMWUJ4TsJQxaAvxyCHfkAAAAA&lt;/dist&gt;</v>
      </c>
      <c r="N37" t="str">
        <f t="array" ref="N37">DstCreate(IF(Dst(N36)&gt;0,Dst(N36),0),"=IF(N36 GreaterThan 0,N36,0)")</f>
        <v>&lt;dist name="=IF(N36 GreaterThan 0,N36,0)" avg="3.39035719E+000" min="0.00000000E+000" max="2.22674095E+001" count="1000" type="Double" ver="1.1"&gt;oOyZChXDAAAZvAAAAAAAAHeJAAAAANH5AAAMRf//AAAAAAAADEUAAAAAmsr//ygSpFJOTAAAAADR+RcAAAAZvAAAd4kLa///AAAMRf//5JYoEgAAAAAAAOSWAAAAABm8AABOTEU/Gbx3iSgSFwAZvAAAAAAyjwAABUoAAAAAAAAAAA500fkcygAA3nQAACBGdkwAAAAAGbwPsppJAAArhBm8AAAZvAAA0zZOTEU/AAAAAAAAAAAAAAAAAAAAAAAAAAAAAAAA0zZ2TBm8GbwAAP//GbwAAAAAAAB3iQAAGbwXAHeJQ8kAAFAyGbwAANH5DnQAAAAAE7kAAA+yDEVOTCGEAAAZvAAAGbwAAAAAAAAAAAAAMuQZvA+y0zYAAAAAAAAAAAAAK4QAAAAAAAAAAAAAFcOiKQAAQ8kAAEBbAAAAABm80fkCPE5MAAAAABm8AAAAAAAAAAB3iQAAHMo4g4jpIYQAAGm+IYQAAEPJAAArhAAABochhCGEAAAMRQk0AAAAABm8KBIAACgSAAAZvBm841kAAAAAMaY28CBGDnQAAAAAdkykUgAADnSHrAyoAABOTDbwGbwAACGEDEUAABm8AABIUAAATkxpvhcAAADR+QAADKhogQAADEUAAAAAAAAAAEU/AABOTAAAAACkUhJ8FwAAABXDpFIhhBm8//8AAA50AACZChm8AAAAAAAABUoVwxm8AAAMRdH5AAD0twAAAAAZvAAA3TcAAAAATkwZvJwHAAAZvBm8AAAAACBGAAAAAAAAAAAAAAAAAjwAAAAAFcMAAAxFAAAgRgAAAAAAAAAAAAAAAJpJAAAAAE5MAACkUqDsAAAZvAAAGbwAAAAAAAAhhBm8GbwAAP//KBIAACBGAABO9AAART9OTA+ynAcAAKRS//8XAAAAAADR+Rm8AAAMRQAAFcP//wAAGbwAAP//GbzTNgAA//8AAAI8AAAAAAAAQ8kZvAAAAACcB///Q8kgRgAAoOwAAAAAAAAZvAAAAACkUgAAAAAAAAI841mkUgAAGbweCAAAGbwAAAAABof//wAAqdMAAAAAAAAZvAAAAAAAAAAApFIAACgS//9atQAAGbwAABm8GbwAAAAATkwAABm8WrVOTAAAAAAZvA50AAAAAAAA41kAAAAADEWkUgAAD7IhhHeJAADklgAAAAAMRURDAABAWyI+o/1OTEPJAAArhAAAAABDyQAATkwAAAAAAAAZvP//h6wAAAxFQ8kAAAAAmkmp0wAAAP8AADnA0zakUp5fAAAnIyhgAAAAAP//AAAZvAAAAAAAAAAAAAAAAE5MKBIAADiDD7JGfEZ8Q8lGfAAATOkgRgAAAADFanZMAAAAAAAAAABFPxm8AAAZvIjpAAAAAAAAAP8F7RO5TkwAAE4mAAAZvI48AADklgf4GbwAABJ8dkwAACGEKBIAAAAAAAAAAAAAAABDyURDAAAAAAAADnQAAAAAdkwAAFvyAAAAAAAAGbwAAA50AAAoEgAAGbwAABm8AAAAAAAAAAAAAAAAAAB2TAAAAABGfAAA0zYgRgAApFKI6QAAqdMAABm8AAAAAAAATvQZvAAAAAAAAAAAAAAnIxm8GbwZvNH5Be0VwwAARENDySGEGbwSfAAAAAAAACgSdkwhhDiDGbwgRgAAAACM/8VqAAAPsgAAGbwAAAAAGbwoEgAAJyMAAAAAAAAPsgXtdkwAAHZMBK8AABcADEUAAAAAGbwcygAAGbwAAAAAGbwAAAXtAAAAAAVK//8TuQAA//8AAAAAAABOJgk0dkwAAAAAAAAZvBm8DEUhhAAAAAAgRkPJAAAAAEMGAAAZvAAAAAAZvAAAAAD//0PJAAAAAHZMAAAAAP//BUoAAE5MAADTNgAAGbycB9M2AAAAAAAATiYrhAxFIEYAAIesAAAAAHeJoikZvCgSAAAAADiDAAAAABXDAAAAAASvAAAAACgSAAAAAAAAGbwAAAAAAAAAAAxFAAAAAAAAAAAAAOSWQwYVwyBG5JYcyjnAGbwVwwAAC2sZvCBGAAAgRkPJAACHrCuEFcMAAAAAqJYAAE5MaIEAACGEAAAAAAAAFwAAAAAAD7IAAAAADnQZvHZMGbwAAERDAAAnIwAAAAAAAHeJAAA5wAAAdkwAAAxFnAcAAAAAAAAAAKnTAACcB9M2AAAAABcADnQgRgxFAABM6Rm8AAAZvAAAKBIAAAAApFIAACGEAAAAAAAAAAAAAAD/AAAAAEPJD7IeCAAAAAAAAAAAQwYZvE70AAAAAAAAAAAAAAAAAAAAAEPJAAAXAA509LcAABm8AAAAAAxFIQEZvNM2AAAAAAAAGbwAABm8AAAXAE5M0fkAAHeJAAAAAAVKFwAAAAAAAABAW6RSTibELVAyFwDdNyGEFwAAAAAAKBKkUhm8AAAAAOSWAAACPCgSTkwZvCgSOcAF7U5MAADdNxm8KBIZvCcjAAAAAAAADEUAAAAAAAAAAKRSAAAZvAAATOkAADGmAAAhhAAAdkwhhAAAAAAAAOSWAABogQAAQ8kAAAAAQ8nedBm8AAAAABm8AAAhhAAAREMAAAAAAAAAACBGAADdNxm8AAAAAD8eAAAAAAAAAAAZvP//KBIAAAAAAAAAAAAAAAAAAAAAAAAZvDLkHMpDySgSAAAAAAAAAABOTAAAAAAAAAAA&lt;/dist&gt;</v>
      </c>
    </row>
    <row r="38" spans="1:14" x14ac:dyDescent="0.25">
      <c r="C38" t="str">
        <f xml:space="preserve"> 'Project Model'!$D43</f>
        <v>&lt;dist name="MR1" avg="6.00000000E+000" min="5.46376191E-001" max="1.18797095E+001" count="1000" type="Double" ver="1.1"&gt;RTLp1qWSKRalkqWSAABFMqWSKRalkqWSHgulkv//RTJUQVRBRTJFMse0OSZFMqWSu6j//6WSVEGlkh4LVEH//0UyWEXHtOnWu6i7qP//RTL//6WSWEU5Jm9cKRalkv//WEWlkkUyRTJUQf//OSb//x4LRTIAAEs4u6g5Jse0pZI5JunWpZLp1h4LOSZYRaWSpZI5JqWS///HtKWSOSa7qKWSRTL//6WSRTKlkkUyRTJYRaWSRTJvXIp3pZI5Jh4LVEFYRVhFHgulkm9c//+lkse0//9FMlRBOSZYRUUypZKlkkUyindALVRB//9UQaWS6dZvXDkmVEE5Jop3VEH//wAASzj//0s4//85JjkmHgtvXEs4SzhFMqWSWEVYRUUyRTI5JkUyu6hLOIp3KRalkqWSpZIeCykWpZJYRTkmb1w5Jm9cpZIAAFRBineKd///b1xvXFRBRTKKdykW6dbp1ruoVEFFMikWVEFALf//OSa7qEUypZKlkkAtinc5JlRBpZI5JkUypZJFMv//QC0AAP//x7QpFkUyx7QpFqWS6dZFMqWSpZJLOEUy6dbHtKWSb1z//ykW//85JlhFWEVUQf//RTJLOIp3VEEpFkUypZKlkikWpZKKd0UyWEVYRTkmpZJLOEUyRTJUQVRBKRalkop3HgseC6WS//85Jv////+lkunWSzjp1v//OSaKd6WSu6ilkkAtpZL//6WSpZLp1kAtWEU5JlRBu6ilkjkmOSalkh4LAAD//0s4WEWlkqWSu6hYRUUypZIAADkmpZIeC6WSpZI5Jv//OSalkjkmRTKlkh4LHgspFh4LRTJUQf//AAD//0UyOSZFMkUyx7SlkjkmVEGlkkUyRTJvXFRBOSalkqWSHgtYRYp3RTJFMkUyKRalkqWS//9UQVRBpZKlkv//OSb//6WSpZL//6WSWEVALf////+lklRBpZIeCzkmOSYAAKWSb1zp1lRBpZIeC8e0//+lkikWRTKlkqWSHgtUQUs4indLOKWSSzjHtMe0x7T//6WS//8eC4p3///HtCkWAADp1qWSRTK7qFhFpZL//zkmKRbHtDkmpZI5Jm9c//9vXG9cRTJUQf//KRZALaWSpZKlkv//b1z//0s4pZL//+nWHgtFMm9cx7Q5JlRBOSb//1RBVEE5JkUyOSalkh4Lx7T//29cKRY5JkAtSzj//6WSHgu7qKWSRTJUQVRB//9ALUUypZIeC8e0x7THtP////85JqWSVEFLOMe06dZFMop3RTL//0AtRTLHtFhFAACKd///OSY5JqWSpZIpFqWSOSZLOCkW//85JunWRTIeCzkm//9FMkUyVEGlkkUyOSZALaWSpZKlkm9cpZJFMv//pZIAAIp3RTLHtB4L6dYeC0Uy//+Kdx4LHguKdx4LKRY5Jop3//9vXIp3pZIeCzkmHgtUQR4Lu6hvXB4LpZL//0UyOSY5JqWS6dZFMkAtpZJLOFRBb1weC0Uy//85JunWQC1FMm9c//8pFv//VEGKd0s4OSalkruou6ilkkUyHgtALaWSinelkqWSRTK7qKWSHgtYRaWSOSZYRW9cWEX//wAApZKlkruoRTLHtP///////6WSOSalkjkminf//4p3//+Kd6WSRTJUQf//pZIpFunW//+lklRBpZIeC29cAABvXKWS//+lkm9cSzj//0Uyx7QAADkmRTKlkjkmpZJUQaWSb1w5JjkmpZIAAAAAAADp1qWSpZJALQAAx7QeC0UypZJYRbuopZIeC0Uy//+lklhFWEVFMkUypZKlklRBinf///////+Kd0Uyb1ylkgAAWEUeC+nWu6ilkm9cinf//1hFpZL//0s4HgspFqWSpZJALTkmu6ilkqWSpZJFMop3//8eCwAARTJFMikWKRa7qP//pZKlkse0HgtLODkmOSZUQf//pZI5JunWpZIeC6WSOSZFMm9cpZJALaWSVEEpFop3SzhFMjkmRTJFMkUyHgseC0UypZJLOG9c6dalkqWSOSbp1op3//+lkkUyx7SlkqWSRTKlkv//RTLHtLuopZKlkjkmVEE5JqWSinc5JlRBRTJFMh4LpZJUQVRBRTKlkse06dalkqWS///HtFRBRTLHtEUypZJLOKWSx7QeCykWpZI5JjkmHgtALaWSWEWlkjkmOSYpFqWSx7QAAEUy6dalkv//HgtUQYp3AAA5JkUy//9vXIp3//8eCykWb1xUQUs4pZKlkunWindUQTkmx7QeC6WSRTJALTkm6dZFMlhFHgtUQW9cinelkkAtVEE5Jv//VEFLOOnW6dY5Jv//RTKlkqWSu6ilkh4LQC2lkm9c//85Jv//pZI5JkUypZK7qFRBKRY5JruoWEVALaWSpZI5Jv//OSaKd1hFOSa7qEUyRTKlkruo//9FMv//Hgs5Jse0VEE5Jv//Hgv//x4LpZIAAP//RTK7qCkWVEH//8e0pZKlkqWSHgtALSkWHgseC6WSWEXp1ikWVEFYRce0WEVUQUUypZI5JkUyRTI5JikWRTKKd0s4OSY5Jjkm//+Kd///pZJFMqWSu6hLODkm6dalkruoincpFqWSAAC7qP//WEUeCzkmx7QpFlhFRTL/////AAAeCzkmWEVUQYp3OSbHtFRBpZJUQUUy6db/////RTIeC6WSHgv//1RBWEUAAAAA&lt;/dist&gt;</v>
      </c>
      <c r="H38" t="str">
        <f>C38</f>
        <v>&lt;dist name="MR1" avg="6.00000000E+000" min="5.46376191E-001" max="1.18797095E+001" count="1000" type="Double" ver="1.1"&gt;RTLp1qWSKRalkqWSAABFMqWSKRalkqWSHgulkv//RTJUQVRBRTJFMse0OSZFMqWSu6j//6WSVEGlkh4LVEH//0UyWEXHtOnWu6i7qP//RTL//6WSWEU5Jm9cKRalkv//WEWlkkUyRTJUQf//OSb//x4LRTIAAEs4u6g5Jse0pZI5JunWpZLp1h4LOSZYRaWSpZI5JqWS///HtKWSOSa7qKWSRTL//6WSRTKlkkUyRTJYRaWSRTJvXIp3pZI5Jh4LVEFYRVhFHgulkm9c//+lkse0//9FMlRBOSZYRUUypZKlkkUyindALVRB//9UQaWS6dZvXDkmVEE5Jop3VEH//wAASzj//0s4//85JjkmHgtvXEs4SzhFMqWSWEVYRUUyRTI5JkUyu6hLOIp3KRalkqWSpZIeCykWpZJYRTkmb1w5Jm9cpZIAAFRBineKd///b1xvXFRBRTKKdykW6dbp1ruoVEFFMikWVEFALf//OSa7qEUypZKlkkAtinc5JlRBpZI5JkUypZJFMv//QC0AAP//x7QpFkUyx7QpFqWS6dZFMqWSpZJLOEUy6dbHtKWSb1z//ykW//85JlhFWEVUQf//RTJLOIp3VEEpFkUypZKlkikWpZKKd0UyWEVYRTkmpZJLOEUyRTJUQVRBKRalkop3HgseC6WS//85Jv////+lkunWSzjp1v//OSaKd6WSu6ilkkAtpZL//6WSpZLp1kAtWEU5JlRBu6ilkjkmOSalkh4LAAD//0s4WEWlkqWSu6hYRUUypZIAADkmpZIeC6WSpZI5Jv//OSalkjkmRTKlkh4LHgspFh4LRTJUQf//AAD//0UyOSZFMkUyx7SlkjkmVEGlkkUyRTJvXFRBOSalkqWSHgtYRYp3RTJFMkUyKRalkqWS//9UQVRBpZKlkv//OSb//6WSpZL//6WSWEVALf////+lklRBpZIeCzkmOSYAAKWSb1zp1lRBpZIeC8e0//+lkikWRTKlkqWSHgtUQUs4indLOKWSSzjHtMe0x7T//6WS//8eC4p3///HtCkWAADp1qWSRTK7qFhFpZL//zkmKRbHtDkmpZI5Jm9c//9vXG9cRTJUQf//KRZALaWSpZKlkv//b1z//0s4pZL//+nWHgtFMm9cx7Q5JlRBOSb//1RBVEE5JkUyOSalkh4Lx7T//29cKRY5JkAtSzj//6WSHgu7qKWSRTJUQVRB//9ALUUypZIeC8e0x7THtP////85JqWSVEFLOMe06dZFMop3RTL//0AtRTLHtFhFAACKd///OSY5JqWSpZIpFqWSOSZLOCkW//85JunWRTIeCzkm//9FMkUyVEGlkkUyOSZALaWSpZKlkm9cpZJFMv//pZIAAIp3RTLHtB4L6dYeC0Uy//+Kdx4LHguKdx4LKRY5Jop3//9vXIp3pZIeCzkmHgtUQR4Lu6hvXB4LpZL//0UyOSY5JqWS6dZFMkAtpZJLOFRBb1weC0Uy//85JunWQC1FMm9c//8pFv//VEGKd0s4OSalkruou6ilkkUyHgtALaWSinelkqWSRTK7qKWSHgtYRaWSOSZYRW9cWEX//wAApZKlkruoRTLHtP///////6WSOSalkjkminf//4p3//+Kd6WSRTJUQf//pZIpFunW//+lklRBpZIeC29cAABvXKWS//+lkm9cSzj//0Uyx7QAADkmRTKlkjkmpZJUQaWSb1w5JjkmpZIAAAAAAADp1qWSpZJALQAAx7QeC0UypZJYRbuopZIeC0Uy//+lklhFWEVFMkUypZKlklRBinf///////+Kd0Uyb1ylkgAAWEUeC+nWu6ilkm9cinf//1hFpZL//0s4HgspFqWSpZJALTkmu6ilkqWSpZJFMop3//8eCwAARTJFMikWKRa7qP//pZKlkse0HgtLODkmOSZUQf//pZI5JunWpZIeC6WSOSZFMm9cpZJALaWSVEEpFop3SzhFMjkmRTJFMkUyHgseC0UypZJLOG9c6dalkqWSOSbp1op3//+lkkUyx7SlkqWSRTKlkv//RTLHtLuopZKlkjkmVEE5JqWSinc5JlRBRTJFMh4LpZJUQVRBRTKlkse06dalkqWS///HtFRBRTLHtEUypZJLOKWSx7QeCykWpZI5JjkmHgtALaWSWEWlkjkmOSYpFqWSx7QAAEUy6dalkv//HgtUQYp3AAA5JkUy//9vXIp3//8eCykWb1xUQUs4pZKlkunWindUQTkmx7QeC6WSRTJALTkm6dZFMlhFHgtUQW9cinelkkAtVEE5Jv//VEFLOOnW6dY5Jv//RTKlkqWSu6ilkh4LQC2lkm9c//85Jv//pZI5JkUypZK7qFRBKRY5JruoWEVALaWSpZI5Jv//OSaKd1hFOSa7qEUyRTKlkruo//9FMv//Hgs5Jse0VEE5Jv//Hgv//x4LpZIAAP//RTK7qCkWVEH//8e0pZKlkqWSHgtALSkWHgseC6WSWEXp1ikWVEFYRce0WEVUQUUypZI5JkUyRTI5JikWRTKKd0s4OSY5Jjkm//+Kd///pZJFMqWSu6hLODkm6dalkruoincpFqWSAAC7qP//WEUeCzkmx7QpFlhFRTL/////AAAeCzkmWEVUQYp3OSbHtFRBpZJUQUUy6db/////RTIeC6WSHgv//1RBWEUAAAAA&lt;/dist&gt;</v>
      </c>
    </row>
    <row r="39" spans="1:14" x14ac:dyDescent="0.25">
      <c r="C39" t="str">
        <f xml:space="preserve"> 'Project Model'!$D44</f>
        <v>&lt;dist name="MR2" avg="6.00000000E+000" min="5.46376197E-001" max="1.18797095E+001" count="1000" type="Double" ver="1.1"&gt;K4ZWsTuWTaj//02ovhioAqgCR6Ige1q1O5b//8okAAA7llax//+oAr4YIHv///////+oAqgCO5ZNqKgCIHtWsUeiqAIge///AAD//6gCyiRatSB7K4ZHosokqALKJKgCR6L//zuW//+oAiuGqAJCnagCQp0ge1axVrEge0eiO5aM5yB7VrFatVq1vhgge0eiccxHolaxK4bsRuxGccxNqP//yiRNqFaxqAL//wAAWrU7lr4YWrVNqDuWccxCnTuWVrFCnUKdqAIrhv//R6LKJP//jOdNqDuWqAKoAkei//+oAqgC//8AAFq1AAArhoznqAKoAqgCjOdHouxG//87lqgCAAA7liuGqAIge1axqAJWsUeiyiT//+xGqAKoAkKdjOcgezuWqAKoAqgCO5aoAgAAVrFHogAA//9HojuWqAJCnf//IHvsRv//qAI7lkKdqAKoAlaxWrWoAoznqAJNqMokqAIAAIznqAJatagCTahHokeivhioAqgCjOf//4znIHtNqP////9CnUeiR6L//zuWR6Ige0eiO5YAACB7qAKoAiB7jOf//zuWjOdHosokqAL//wAAO5ZHoqgC//+oAjuWR6JHokKd//+M56gCQp1HooznyiRatagC//+oAkeiqAJWsTuWccz//yB7ccz//3HMqALKJHHMqAKoAv//Tai+GHHMO5ZWsVq1vhiM5yB7IHtHov//R6JHojuWqAKoAoznTaj//0eiVrEge6gC/////zuWQp1Wsf//VrEge4znqAJWsagCR6JHokei7EYge6gCO5ZHoqgCjOdatTuWqAJHolq1O5Yge+xGR6IAAKgCqAIAACB7IHv//zuW//+oAlaxvhioAv////+oAv////+oAkeiqAJNqAAAK4b//+xGO5Zatf//AACoAjuWvhg7lv//K4b//1axK4Y7lk2o//+oAqgCK4aoAjuW//87luxGO5ZWsVq1/////zuWO5Y7lv////9HojuWO5aoAqgCjOf//6gCO5b//wAAvhg7luxGAABatagCIHvsRlq1//8ge6gCvhj//0KdVrE7lnHMO5aoAkeiIHsAADuW//8ge///AAA7llax//+oAiB7//87lqgC//9HoqgCR6KoAkKdqAK+GDuWR6KoAqgCAABHoiuG//8geyuG7EaoAqgCVrHKJKgCIHtWsexGIHs7lr4YQp0AAP//qAJWsVq1Qp3//3HM//+oAiuGqAL/////VrHKJCuG7EZxzKgC7EZWsU2oqAKM5+xGqAKoAiB7qAKoAsokVrFCnf//Qp3//6gCR6KoAqgCR6KoAv////9xzFax7EZHokeiAABHokKdK4ZHok2oTaiM5yB7qAIAAEKdAAA7lv//Taj//8okO5aoAoznQp1xzIznqAJNqFaxAAD//yB7VrHKJCB77EaoAnHMR6KoAqgC//9xzEKdR6KoAk2oVrE7luxGqAKoAkeiccwgewAAQp1xzHHMR6JatTuWVrFHolq1VrH//1axqAKoAjuWQp1CnVaxqAJNqEeiR6I7ljuWR6JHolaxqAJHojuW///KJEeiVrGoAv//jOeoAqgCIHuoAoznAAAge1axjOc7lqgC//+M50KdccyM56gC7EaoAqgCqAJWsUeiVrFNqE2oWrWoAsokqAJWsVaxjOcAAIznQp3sRkKdIHsgeyuG//9HolaxccyoAkeiR6LsRnHMR6KoAiB7O5aM56gC//8geyB7//+oAiB7//9Hosok//9WsXHMqAI7ljuW//+M5zuWqAKoAiuGR6JWsYznTahxzCB7O5Yge4znO5aoAsokIHuM5///R6JHor4YqAL//6gCqAKoAjuWVrH/////O5ZHoiB7Qp2oAv//IHs7lv//qAKoAkeivhg7lqgCWrVHoiuGVrEge8okVrErhiB7IHuoAqgCR6L//zuWVrFxzDuWAACM502oR6IgezuWTagAAP//qAKoAiB7//+oAiuGVrErhv//qAJWsYznO5Yge8okAABHoiB7yiRatexGvhg7lqgCQp3//yB7qAJHolaxQp0ge0eiccwAADuWO5ZWsf//O5aoAqgCVrHKJHHMqAJWsUKd7EYrhiB7Qp3//02oqAKM5+xGAABNqKgCqAK+GKgCTajsRiuGIHsge///O5ZHokeiWrVHolaxqAI7lqgCQp1HoqgCyiQrhlq1ccxHov//Taj//yuGVrGoAqgCTag7lqgCIHs7lkeiR6JWsSB7AABWsf//7EbsRiuGyiTKJEeivhj//zuWO5ZxzE2oqAIAAKgCqAKoAuxGVrGoAiB7O5aoAiB7qAIge///VrH//6gCK4aoAlq1IHtHokKdR6KoAv//K4a+GKgCyiRWsUeiqAJCnVaxWrU7lqgCVrFNqFq1qAI7lqgCqAIgeyB7jOf//3HMqAI7lsokqALsRkei//87lv//7EZxzP//R6JxzP////87lqgCVrGoAqgC//8geyB7WrVHov//Taj//yuGK4ZxzKgCK4aoAgAATaioAkeiO5aM58okqAI7lkei//+oAiB7ccy+GOxGO5aoAv//VrGoAiB77EZxzKgCqAIge1axqAI7ljuWqAI7liB7O5ZWsSB7qAIrhqgC//9NqCB7O5Yge1axVrErhjuWqAL//8okR6I7loznqAI7lqgCvhg7lk2oO5YAAAAA&lt;/dist&gt;</v>
      </c>
      <c r="H39" t="str">
        <f>C37</f>
        <v>&lt;dist name="MN" avg="1.20000000E+001" min="7.18770000E+000" max="2.83877000E+001" count="1000" type="Double" ver="1.1"&gt;//+ftDpPDiMOIw4jDiMdMp+0HTIOI///AAAAAP//Ok8OIx0yAAAAAAAA/////x0yn7RFWg4jDiP//zpPDiMOIw4jn7QdMv//DiMAAP////8dMh0yDiMAAP//DiMOIw4jOk9FWp+0DiOftB0yOk8OIw4jOk+ftDpPHTI6Tw4jDiMAAA4j//8dMjpP//86T0Van7QOIw4jDiMOI5+0DiNFWg4jDiMOIw4j//9FWp+0DiMOIw4jOk8OIw4jDiMAAAAAOk8AAA4j//+ftA4jDiMOI///DiMAAA4jDiOftA4jDiM6T5+0Ok86T5+0DiM6T///DiMAAA4jRVpFWg4jAABFWkVaAAAOIw4jDiM6T0VaHTIOIzpPRVoOIw4j//8OIzpPDiMOIzpPRVoOIw4jRVoOIw4jOk///w4jOk8dMp+0DiNFWg4j//8AAEVaDiMAAA4jDiMOIw4jAACftA4jHTI6T5+0RVoOI5+0RVoOIzpPDiNFWg4jHTJFWkVaHTIAADpPHTIOIw4jHTIOIx0yAAAOIw4j//8dMjpPRVqftEVaDiMAAAAAn7SftA4jDiOftB0yDiNFWp+0DiMOI0VaAAAdMg4jRVqftA4jRVqftDpPHTL//w4jHTKftB0yAAAdMg4jDiMOI5+0AABFWg4jOk+ftEVaOk8OIzpPn7RFWg4j//8OIw4jDiOftA4jDiMAAA4jHTI6Tw4jHTIAAP//AAD//w4jDiMOIw4j//8OIw4jRVoOI///DiMOIw4jHTIAAEVaAAAAAA4jDiMOIzpPAAAAAA4jOk8OIwAADiNFWkVaHTIOIx0yDiMOI5+0DiMOI0VaDiOftP//RVoOIw4jDiMOIx0yDiNFWg4jDiMOI///HTIOI0VaDiOftB0yn7RFWg4j//8AAJ+0//86TwAAAAD//w4jHTIAAA4jOk///w4jDiMOI///DiP//x0y//8OIwAAOk8AAA4jOk8OIwAAAAD/////Ok9FWg4j//8OIw4jDiMOIw4jAACftA4jDiMOIwAA//+ftA4jDiMdMgAADiMAAAAAHTL//w4j//8OIw4jDiMOIzpPDiMOIx0yn7RFWh0y//+ftDpPDiMOIw4jDiMOIw4jRVoOIw4jn7RFWgAADiMOIw4jAAAdMg4j//8OI0VaAACftEVaDiNFWp+0HTL//w4jDiMAAEVaDiOftDpP//9FWjpPDiNFWh0yDiM6Tw4jRVoOIw4jDiMOI///n7QOIwAAOk8OIw4jn7T//w4jAAAAADpP//+ftP//DiM6TzpPDiMOI///DiMOIwAADiMOIw4jHTIdMkVaHTI6TzpPDiOftJ+0Ok+ftB0yn7RFWgAADiP//5+0AAAOIw4jDiOftA4jDiMOI5+0Ok8OIwAAAABFWkVaRVoOI5+0DiMOI///AAD//zpPDiMdMkVan7QOI0VaHTIAAA4jDiMAAEVaDiM6T0VaDiMOIw4jDiMAAEVan7QOI5+0DiMAAAAADiMOIw4jOk8dMg4jDiMOIw4jOk8OIw4jDiMdMg4jDiOftA4jDiOftA4j//9FWg4jn7SftA4j//8AAA4jDiMOIw4jn7QOIw4jAAAOIw4jAAA6Tw4jDiMOI///RVo6TwAARVo6T0VaDiNFWg4jDiMOIx0yn7RFWjpPDiNFWh0yDiP/////HTIOIw4jDiMAAAAADiMdMjpPOk8OIw4jRVoOI0Van7QOI5+0RVoOIzpPAAAOIw4jDiMdMg4jDiMOIw4jDiMAAEVaDiNFWh0y//9FWkVa//8dMg4jAACftDpPn7QOIw4jHTIOIw4jAABFWg4jHTJFWjpPDiMOI0VaAAAOIw4jDiMOIw4jHTL//zpPRVpFWp+0DiMOI///HTIAAEVaAAD//w4jDiP/////DiMOIw4jn7RFWgAARVodMp+0HTIdMp+0//8OIx0yDiMOIzpPDiMOIzpPDiM6T0VaDiMdMh0yDiMAAA4jDiMOIw4jDiNFWgAADiNFWh0yAAAOI///RVo6T0Va//8dMjpPDiM6TwAAHTIOI0VaDiNFWjpPDiOftEVaOk8dMg4j//8dMkVan7QAAEVaHTIOIw4jOk9FWg4jDiMOIw4jDiMOI5+0DiMAAEVaDiM6Tw4jAAAOI5+0DiM6Tw4jn7QAAAAA//9FWg4jDiMAAP//HTL/////AAAOIzpPDiNFWgAADiOftA4jDiMOIw4jHTIOIx0yn7QOI0VaOk86Tx0yDiMOIwAAAAAAADpPDiMdMh0yAAAOIwAARVoOI5+0DiMOIw4jDiMOIwAADiMOIzpPOk86Tw4j//8AAA4jDiMOIwAAOk8OI///HTIdMg4jDiMOIw4jDiM6T0Va//8OI5+0DiMAAB0yOk86Tw4jDiOftJ+0n7T//5+0Ok///0VaOk8OIw4jHTKftA4jHTIOI///DiMAAB0yRVoOIx0yOk9FWkVaDiP//w4jHTIOIzpPHTIOIw4jAAAOIwAADiMOI5+0DiMOIwAAn7QdMkVaDiNFWjpPn7RFWg4jDiMOI///AACftDpPOk8OI0VaOk///w4jAAAdMg4jDiNFWjpPRVoOIw4jAAAdMkVaDiP//w4jHTIAAJ+0DiMdMkVaDiMOI///HTJFWg4jRVoOIx0yHTIOI0VaDiMOI0VaHTI6Tx0yAAAAAA4jDiNFWg4jDiMAAAAA&lt;/dist&gt;</v>
      </c>
    </row>
    <row r="47" spans="1:14" x14ac:dyDescent="0.25">
      <c r="F47" t="str">
        <f>'DIST Library'!B5</f>
        <v>&lt;dist name="House Cost" avg="4.00000000E+002" min="2.43253009E+002" max="6.66594544E+002" count="1000" type="Double" ver="1.1"&gt;AAB8iDxITVlcaFllWWUIFHyICBRZZQAASFRIVAAAPEhZZQgUSFRIVEhUAAAAAAgUfIibp/////8AADxITVn//1llfIgIFAAATVlIVAAAAAAIFAgUTVlIVAAATVlZZU1ZPEibp3yITVl8iAgUPEj//01ZPEh8iDxICBQ8SFxoXGhIVFllAAAIFDxIAAA8SJunfIhNWVllWWVNWXyIWWWbp01ZWWX/////AACbp3yIXGhcaFllPEj/////XGhIVEhUPEhIVFllAAB8iE1Z//9NWQAA//9IVP//XGh8iP//WWU8SHyIPEg8SHyIXGg8SAAAWWVIVFllm6ebp1xoSFSbp5unSFRNWf//TVk8SJunCBRcaDxIm6dNWf//AABZZTxITVlZZTxIm6dNWVllm6dZZVxoPEgAAP//PEgIFHyIWWWbp1llAABIVJunWWVIVE1ZWWVcaE1ZSFR8iP//CBQ8SHyIm6f//3yIm6dZZTxIXGibp1llCBSbp5unCBRIVDxICBRNWVllCBT//wgUSFRcaFxoAAAIFDxIm6d8iJunTVlIVEhUfIh8iE1ZXGh8iAgUTVmbp3yITVlNWZunSFQIFE1Zm6d8iP//m6d8iDxICBQAAE1ZCBR8iAgUSFQIFE1ZXGhNWXyISFSbp1xoPEh8iJunPEj//zxIfIibp01ZAABZZf//XGh8iE1ZXGhIVFxoCBQ8SFxoCBRIVAAASFQAAFxo//9ZZf//AABZZU1Zm6dNWQAATVlNWf//CBRIVJunSFRIVFxoWWVNWTxISFRIVFllPEhZZUhU//+bp5unCBRZZQgUXGhNWXyI//9NWZunWWV8iAAAm6f/////XGhcaAgU//+bp///XGhNWQAACBRNWZunTVl8iAgUfIibp1llAABIVHyIAAA8SEhUSFQAAFxoCBRIVE1ZPEgAAP//WWX//wAATVkAAAgUAABZZUhUPEhIVP//PEhZZUhUSFQAAAAAPEibp///AABZZf////9ZZf//SFR8iFllWWX//0hUAAB8iFll//8IFEhUWWVIVEhUCBQAAE1ZAAD/////TVn//zxITVn//wgUfIibpwgUAAB8iDxIWWVNWVxoTVlcaFxom6dNWU1ZfIibp0hUTVn//1llSFQIFE1ZAABNWZunSFR8iJunTVmbp3yICBQAAFllXGhIVJunTVl8iDxIAACbpzxI//+bpwgUWWU8SFxom6f/////TVlZZQAAfIhNWUhUPEhZZf//fIgAAFxoSFRIVDxIAAB8iAAAWWU8SDxI//9caAAA//9ZZUhUXGhZZf//CBQIFJunCBQ8SDxIWWV8iHyIPEh8iAgUfIibp0hUXGgAAHyISFRcaFll//98iFxoTVlcaHyIPEhcaEhUSFSbp5unm6dNWXyITVlNWQAASFQAADxI//8IFJunfIhcaJunCBRIVFllTVlIVJunWWU8SJun//9caFxoTVlIVJunfIhcaHyIXGhIVEhUWWX/////PEgIFFxoXGhNWU1ZPEhcaFxoXGgIFFllWWV8iP//WWV8iFllAACbp1llfIh8iFllAABIVFxoTVlNWf//fIhNWVllSFRNWf//SFQ8SFxoWWVcaAAAm6c8SEhUm6c8SJunTVmbp1llWWVZZQgUfIibpzxIXGibpwgU//8AAAAACBRZZVxoWWVIVEhU//8IFDxIPEhZZVllm6dNWZunfIj//3yIm6dNWTxISFRcaFllXGgIFE1ZXGj//1xoXGhIVJun//+bpwgUAACbp5unAAAIFE1ZSFR8iDxIfIhZZVxoCBRNWVllSFSbp1llCBSbpzxIXGj//5unSFRcaE1ZTVlNWVllCBQAADxIm6ebp3yIXGhNWQAACBRIVJunSFQAAP//WWUAAAAAWWVcaE1ZfIibp0hUm6cIFHyICBQIFHyIAABZZQgU//9caDxIWWVNWTxI//88SJunTVkIFAgUTVlIVFllWWVcaFllTVmbp0hUXGibpwgUSFRNWQAAm6c8SJunAAAIFDxI//88SEhUCBRZZZunTVmbpzxITVl8iJunPEgIFP//AAAIFJunfIhIVJunCBRcaFllPEibp1xoXGhNWU1ZTVlZZXyI//9IVJunWWU8SFxoSFRZZXyI//88SE1ZfIhIVEhUAACbp///TVlIVAAACBQAAAAASFT//zxITVmbp0hU//98iFxo//9NWf//CBRNWQgUfIhcaJunPEg8SAgUXGhcaEhUSFRIVDxIWWUIFAgUSFT//0hUm6dZZXyITVlZZU1ZTVlZZUhU/////zxIPEg8SFxoAABIVP//WWVcaEhUPEhNWQAACBQIFP////9caE1ZWWU8SJunAABNWXyIWWVIVAgUPEg8SP//TVl8iHyIfIgAAHyIPEgAAJunPEhZZVxoCBR8iFllCBRZZQAAWWVIVAgUm6f//wgUPEibp5unWWUAAFxoCBT//zxICBT//01ZSFRZZUhU//9caHyIXGhcaEhUfIgIFJunWWWbpzxIfIibp01Z//9caAAASFR8iDxIPEhcaJunPEgAAE1ZSFQIFFxo//+bpzxIm6f//01ZSFQIFJunXGgAAP//CBRIVHyIWWUIFJun//9caAAACBSbp1llm6dZZQgUCBRNWZun//9ZZZunCBQ8SAgUSFRIVE1Z//+bp1llWWUAAAAA&lt;/dist&gt;</v>
      </c>
      <c r="H47" t="str">
        <f>'DIST Library'!B7</f>
        <v>&lt;dist name="Remodel 1 Cost" avg="2.00000000E+002" min="1.03823177E+002" max="4.37161622E+002" count="1000" type="Double" ver="1.1"&gt;AAApGNPCFgWikTAfDv5NPEs6FgVLOks6Lh3Twl1MAABLOks6FwYAACQTJRRNPEEwQjE6KaKRSzowHxEASzp1ZBcGOyokEykYQjFCMV1MTTxdTDAfOyoP/zopFgVLOjopOypBMBcGTTxLOl1MTTxdTBEAFwYO/nNiQjElFCQTQTAlFCkY08IpGBEATTw7Kot608IlFKKROikkE4t6JRRCMYt6TTx1ZKKRFwaLegAAFwY7KjAfAAA6KWlYMB8lFBEASzo7KjsqEQCikTopXUwwHyQTXUxNPEs6TTw7KgAAMB/TwhcGaVj//0s6OimKeaKRKRg6KSUUinkP/2lYinl1ZA7+c2I6KXNiOiklFE08EQA6KXNic2IXBkEwOyo7KhcGFwYP/008QjFzYmlYFgVBMDAf08IuHRYFi3o7Kg//OiklFDopopEO/op5aVhpWF1MOik6KUs6AABpWBYFKRgpGEIxinkXBhYFinn//zopJRRCMQAA08IwH///aVhNPIp5opEP/xcGMB8AAF1M//8O/nVkJBMWBU08JBMWBYt6KRgXBjAfQTBzYhcGKRgkE0s6OildTBYFXUwlFDsqOyqKeV1MFwZzYmlYSzoWBQAAMB9BMBYFi3ppWAAAOyo7Kk08i3pzYhcGAABLOop5FgUwH2lYLh0uHYt6dWQlFF1MdWSLeikYc2IpGF1MD/9pWEs6QjFBMP//QTBdTEEwi3opGP//OyolFEs6QjHTwiUUD/+ikREADv46KXNiOyowH0s6QjE7KgAA08IO/iUUSzouHdPC08IlFF1MTTzTwk08TTwwHxEALh0WBS4dTTyKeTopDv46KRcGJRQXBgAAJBPTwiUUinmikRcGFwY6KUs6D/9LOks6Lh07KmlYTTxNPAAAFgXTwkEwXUxLOop5opGikXVkTTw6KYt6QTBdTIt6Oyr//11MOinTwks608IuHU08JRQO/jAfOikpGEs6SzoRACQTXUyikRYFFwaLeks6Lh1LOnNiaVhzYtPCc2IkEyQTJBM6KUs6XUwRAGlYXUwkExYFDv4pGEEwAABCMTsqMB91ZA//FgUkEw//08IP/zopOik6KTopFwaKeTopFgX//0s6i3rTwjopOil1ZHNiMB9dTCkYEQAXBjopJBNNPIp5D/91ZIp5inlNPBcGD/+LehEAJBM6KTopFgVNPP//c2JdTKKRLh1CMdPCAABLOop5dWT//xcGQTAuHSQTJBMkEzopXUwP/0s6SzpzYiQTKRgAAGlYAAB1ZP//FwYkEzsqDv5pWDopD/8lFEs6SzoWBaKRJRRzYhYFXUwlFCkYTTwRAE08dWQAABcGSzpBMBcGJRT//0s6MB+ikTopMB8AAF1MopEO/mlYAAAkEy4dKRguHU08XUxpWC4dEQBpWC4dFgUlFGlYdWQ6KWlYSzoRAE08EQCKeREAQjE6KREAQTA6KQAAD/9NPEs6KRgAAP//opFzYks6OikuHU08OilNPCkY//9NPDopdWQWBXVkinlpWHNiTTxLOkIxQjGikU08Lh3//4t6aVhLOjAfTTxCMaKRLh07KtPCJRQ7KjopOyo6KQ7+SzpLOkIxFwYkE11MdWRdTEs6D/8wH008aVg6KWlYOilpWEEwFwZLOjopSzoWBSkYOilBMIp5opEuHTopDv46KTAfOimikTopc2I6KU08JBMO/iUUFwYwHw//i3pLOks6OilNPE0808IO/g7+Dv4pGNPCi3r//w7+JBMRAAAASzo7KkIxopEuHRcGdWSikTsqOyoXBk08QTBLOks6aVh1ZF1MdWRpWBcGOimLeg7+OyouHSkYQjGikTopaVg6KTsqMB9dTHNiEQAWBdPCSzr//w//QjFBMEEwi3oXBmlYOikRAA7+AAAAABYFFgVCMTopMB9BMCQTLh1zYk08JRSKeTop08IlFCkYopERAIt6TTwXBjopQTD//6KRSzoWBWlYc2IXBiUUFwYAABcGEQARABcGi3pzYjopKRiikYt6JRQpGGlYOikwHwAAJBOikUs6TTxBMHVkFwYkE0IxopGLeg//SzolFIt6aVgP/4p5FwYXBhEAopFLOks6FwaLeiQTKRiLeot6OikkE0s6AAAkExcGMB9zYks6JBMuHRYFSzpNPA//Lh3//zAfOyowHyUUJRQWBaKRJBMO/k08KRiikXVkEQBLOmlYDv4P/008Oik6KWlYdWQRABYFOimKeXNiopEwHykYaVhLOiUUJBMRAEs6AAD//yUUKRhNPDsqEQCKeTopaVhLOv//inklFHVkinlzYikYKRglFHVkAADTwqKRQjFBMC4d//8wHzopXUwlFF1MopFNPBcGSzpCMUs6FgVNPEIxOyr//0s6SzolFF1MJRRpWDsqTTxCMU08FwZBMEIxXUxNPF1MLh1NPCQTinklFF1MLh11ZBEAopEO/l1MFwZCMRYFinldTCQTSzqikTAfEQD//xYFEQARAEEwOyopGBYFSzo7KiQTOyqKeRcGopElFE08AAAlFBYFFwZpWHNiJRQP/yUUOilpWF1MopEXBqKRQjFzYiUUKRhBMEIxaVgWBTAfDv5CMV1MOyouHU08JBMWBTsqAABdTHVkDv4uHU08OypLOmlYJRQkE0s6MB+KeU08KRhdTDopFwYuHTAfLh06KYp5OyoAAAAA&lt;/dist&gt;</v>
      </c>
      <c r="J47" t="str">
        <f>'DIST Library'!B9</f>
        <v>&lt;dist name="Remodel 2 Cost" avg="2.00000000E+002" min="1.03823177E+002" max="4.37161622E+002" count="1000" type="Double" ver="1.1"&gt;EL6FMgq4bhs04m4bPOqdSirYAAAo1jXjR/VYBR7MCbdH9UXzcB1F8zzqC7k04lgFWAUq2CrYCrhuG51KC7lF80f1O+ko1nAdCbdwHSrYHsw14wu5EL4AAB7MKtgezDvpEb804h/NWAUq2BC+nUr//857//8LuUXzhTILuQAAH81kEQu5hTI14zXjPOoo1gAANOJH9UXzEL4j0SPRNOJuGzTiHsxuG0XznUpwHQm3NeMKuDzqNeNuG0f1NOL//0f1hTL/////O+kQvnAdEb8ezFgFZBFuGx/NznvOe0f1NOLOe4YzNOIJtzXjCbcQvmQRKtg76TvpZBFH9SPRWAUfzTvpCbcfzRC+znsLuYUyznuFMkf1HsxYBSPRO+lF8///ZBEo1h/NnUqGM857H82GMwm3hTIRvwm3NOIAAEf1Ktj//3AdKNYj0XAdznsfzf//O+nOe4UyNePOe2QRKthuGx7MKtgJt2QRRfM140XzbhsRv0f1POoq2DvpZBFwHWQRC7luGzTiWAX//0f1R/VYBQq4R/Uo1gAACrgJtyjWhjMq2Au5ZBFYBUf1ZBEAAB7MRfNYBQm3CrgAAEXzNOIq2Aq4Eb9H9f//NOJkETvp//8AAGQRHsw14zvpcB3Oe0f1nUqFMkf1NOJwHQu5NOI04jTiRfMezDTiRfOGM1gFbhs86jTiR/WFMjXjPOpkEQu5KNZH9VgFR/VH9Uf1KtiGM2QRbhs04hG/hTILuTvpNOI04h/N//9F8zTiRfMo1mQRRfOFMkXzR/VH9QAAI9ELuc57H80AAJ1KZBE140f1O+kRvzXjR/Uo1iPRR/UJt51KKtgJtyjWC7lwHQq4cB2GM0XzPOqGM3AdWAU76TTiNOKdShG/KthuGwm3EL5YBSPRH80141gFCbedSgq4POofzTTiEL404kXzEL4fzW4bNOKdSp1KEL7Oe0f1WAUfzSPRR/WFMjXjNOJwHR/NH81H9TTiWAUAAB/NR/Uq2IYzZBE04oYzCrhYBQm3POpH9SPRCbc14zvpC7kj0TXjWAUo1kXzPOpwHf//hTIKuDTiCrg76Uf1KNYJtwq4cB0o1jTiCbdH9YUyNOJF8wu5WAUKuM57NOIAAM57R/XOe///RfM86h/NEb+GM857CbcAABC+WAUo1hC+I9GGMyrYRfMezDvpKNZF8yPRC7kfzTzq//8JtzTiO+mFMjXj//9YBTTiNOKGMxC+nUpwHVgFhTIezBC+I9E04p1KI9GFMm4bO+lkESPRRfMq2CjWKtg76R7MRfP//1gF//9wHSrYAADOe4YzEb+dSnAdNOI04kXzI9EAAEf1CbdH9f//EL4Rv24bbhtkESjWznsJt///CbcKuFgFbhtYBR7MR/Uq2GQR//804mQRRfNuG4UyCbc04ijWRfMezCjWI9E76TTiR/WGM857cB004v//R/WGM24bhTJH9SPRO+lF8xG/NOILuQm3//804jTiR/U14x/NhTIAADXjhTJwHYUynUrOex/N/////4UynUpuG0f1R/UKuEf1AABH9YUyhjNH9Uf1NOIezEf1RfM76VgFZBE76YYzKNY76WQRCbco1oUyZBEfzSrYcB1kEf//NOJkESrYI9GdSp1KKtiFMkf1hTJuG24bNeNF8x7MO+mFMkXzZBEJt2QR//8j0f//KNYLuRC+NOJH9UXzNOIq2Ef1R/Uj0TTiR/WGMyjWR/VkESrYWAUo1ijWWAUq2Au5NOIAAB7McB2FMjTiRfMKuB/NNOJkER/NRfPOexC+Eb9F82QRbhs04gu5CrgLuWQRCridSh7MKNZkEXAdR/VH9TzqRfM04s57hjOdSkf1RfNYBVgFH80Rvwu5//+GMzTiKNYKuHAdRfMq2AAAPOofzUXzNeNH9RC+hTILuR7MRfMQvijWC7lF80XzR/U04h/NRfM04h/NCbdkEW4bR/Uo1gq4bhsJt1gFzns76SjWWAUq2BC+RfMQvjTiKtiFMmQRCrgo1h7MCbcAACjWHsw14yPRPOoKuM57//804ijWKtgRv0Xz//8o1hG/NOIJtwq4CrhF83AdR/WGM857RfMezDTihjOFMv//I9EQvgu5//804m4bnUpkESPRCbduG51KRfM86p1Kbhsj0RC+C7ko1jTiR/UAAEf1NeNH9UXzRfMKuCrY//9H9c57HswQvjXjNOIRvzTibhs04hC+hTIq2CrYbhtH9YYzKNYfzQAAR/WFMgu5CbdF8zTiI9Ej0RC+HswezBG/POo04kf1H8004m4bO+kJt51KKthF8yPRRfM76Qu5H8076SjWnUoLuXAdhTI04kXzEL476TXjC7kAAP//AACdSlgFEL486s57HsyFMhG/Ktj//0XzNeMfzZ1KRfNuGzXjzntH9SrYO+ko1ijWZBFYBTTiKthH9R7MKtgj0Uf1NOIfzTTiI9E04nAdEb804jTicB0KuM57hTLOezvpcB0o1gu5NeNH9VgFbhtwHRC+EL404s57EL6dSgm3bhtF80f1R/VkER7MzntH9Uf1NOJF8yjWNOI86iPRCriGM3AdhTIq2CjWI9E04p1KKtgo1oUyznsfzQq4KtgKuCjWR/WFMijWKtgQvkXzNOJuGwu5R/Uo1oUyhTIQvkf1hjNwHR7MEb8KuGQRRfMfzUXzPOoKuG4bH80AAAAA&lt;/dist&gt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Project Model</vt:lpstr>
      <vt:lpstr>DIST Library</vt:lpstr>
      <vt:lpstr>Graph Data</vt:lpstr>
      <vt:lpstr>Project Model - DIST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</dc:creator>
  <cp:lastModifiedBy> </cp:lastModifiedBy>
  <dcterms:created xsi:type="dcterms:W3CDTF">2011-01-15T18:40:56Z</dcterms:created>
  <dcterms:modified xsi:type="dcterms:W3CDTF">2012-01-23T17:49:44Z</dcterms:modified>
</cp:coreProperties>
</file>