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10" yWindow="885" windowWidth="15705" windowHeight="4860" activeTab="1"/>
  </bookViews>
  <sheets>
    <sheet name="Library" sheetId="1" r:id="rId1"/>
    <sheet name="Front End" sheetId="3" r:id="rId2"/>
    <sheet name="PM_Trials" sheetId="4" r:id="rId3"/>
    <sheet name="PMTable" sheetId="5" r:id="rId4"/>
    <sheet name="SIPmath Chart Data" sheetId="6" r:id="rId5"/>
    <sheet name="Sheet1" sheetId="7" r:id="rId6"/>
  </sheets>
  <definedNames>
    <definedName name="AWF_Q_1">PMTable!$O$4:$O$103</definedName>
    <definedName name="AWF_Q_1_bins">'SIPmath Chart Data'!$N$7:$N$17</definedName>
    <definedName name="AWF_Q_1_cume">'SIPmath Chart Data'!$N$32:$N$43</definedName>
    <definedName name="AWF_Q_1_freq">'SIPmath Chart Data'!$N$19:$N$30</definedName>
    <definedName name="AWF_Q_1_lbls">'SIPmath Chart Data'!$N$45:$N$56</definedName>
    <definedName name="AWF_Q_10">PMTable!$X$4:$X$103</definedName>
    <definedName name="AWF_Q_10_bins">'SIPmath Chart Data'!$W$7:$W$17</definedName>
    <definedName name="AWF_Q_10_cume">'SIPmath Chart Data'!$W$32:$W$43</definedName>
    <definedName name="AWF_Q_10_freq">'SIPmath Chart Data'!$W$19:$W$30</definedName>
    <definedName name="AWF_Q_10_lbls">'SIPmath Chart Data'!$W$45:$W$56</definedName>
    <definedName name="AWF_Q_11">PMTable!$Y$4:$Y$103</definedName>
    <definedName name="AWF_Q_11_bins">'SIPmath Chart Data'!$X$7:$X$17</definedName>
    <definedName name="AWF_Q_11_cume">'SIPmath Chart Data'!$X$32:$X$43</definedName>
    <definedName name="AWF_Q_11_freq">'SIPmath Chart Data'!$X$19:$X$30</definedName>
    <definedName name="AWF_Q_11_lbls">'SIPmath Chart Data'!$X$45:$X$56</definedName>
    <definedName name="AWF_Q_12">PMTable!$Z$4:$Z$103</definedName>
    <definedName name="AWF_Q_12_bins">'SIPmath Chart Data'!$Y$7:$Y$17</definedName>
    <definedName name="AWF_Q_12_cume">'SIPmath Chart Data'!$Y$32:$Y$43</definedName>
    <definedName name="AWF_Q_12_freq">'SIPmath Chart Data'!$Y$19:$Y$30</definedName>
    <definedName name="AWF_Q_12_lbls">'SIPmath Chart Data'!$Y$45:$Y$56</definedName>
    <definedName name="AWF_Q_2">PMTable!$P$4:$P$103</definedName>
    <definedName name="AWF_Q_2_bins">'SIPmath Chart Data'!$O$7:$O$17</definedName>
    <definedName name="AWF_Q_2_cume">'SIPmath Chart Data'!$O$32:$O$43</definedName>
    <definedName name="AWF_Q_2_freq">'SIPmath Chart Data'!$O$19:$O$30</definedName>
    <definedName name="AWF_Q_2_lbls">'SIPmath Chart Data'!$O$45:$O$56</definedName>
    <definedName name="AWF_Q_3">PMTable!$Q$4:$Q$103</definedName>
    <definedName name="AWF_Q_3_bins">'SIPmath Chart Data'!$P$7:$P$17</definedName>
    <definedName name="AWF_Q_3_cume">'SIPmath Chart Data'!$P$32:$P$43</definedName>
    <definedName name="AWF_Q_3_freq">'SIPmath Chart Data'!$P$19:$P$30</definedName>
    <definedName name="AWF_Q_3_lbls">'SIPmath Chart Data'!$P$45:$P$56</definedName>
    <definedName name="AWF_Q_4">PMTable!$R$4:$R$103</definedName>
    <definedName name="AWF_Q_4_bins">'SIPmath Chart Data'!$Q$7:$Q$17</definedName>
    <definedName name="AWF_Q_4_cume">'SIPmath Chart Data'!$Q$32:$Q$43</definedName>
    <definedName name="AWF_Q_4_freq">'SIPmath Chart Data'!$Q$19:$Q$30</definedName>
    <definedName name="AWF_Q_4_lbls">'SIPmath Chart Data'!$Q$45:$Q$56</definedName>
    <definedName name="AWF_Q_5">PMTable!$S$4:$S$103</definedName>
    <definedName name="AWF_Q_5_bins">'SIPmath Chart Data'!$R$7:$R$17</definedName>
    <definedName name="AWF_Q_5_cume">'SIPmath Chart Data'!$R$32:$R$43</definedName>
    <definedName name="AWF_Q_5_freq">'SIPmath Chart Data'!$R$19:$R$30</definedName>
    <definedName name="AWF_Q_5_lbls">'SIPmath Chart Data'!$R$45:$R$56</definedName>
    <definedName name="AWF_Q_6">PMTable!$T$4:$T$103</definedName>
    <definedName name="AWF_Q_6_bins">'SIPmath Chart Data'!$S$7:$S$17</definedName>
    <definedName name="AWF_Q_6_cume">'SIPmath Chart Data'!$S$32:$S$43</definedName>
    <definedName name="AWF_Q_6_freq">'SIPmath Chart Data'!$S$19:$S$30</definedName>
    <definedName name="AWF_Q_6_lbls">'SIPmath Chart Data'!$S$45:$S$56</definedName>
    <definedName name="AWF_Q_7">PMTable!$U$4:$U$103</definedName>
    <definedName name="AWF_Q_7_bins">'SIPmath Chart Data'!$T$7:$T$17</definedName>
    <definedName name="AWF_Q_7_cume">'SIPmath Chart Data'!$T$32:$T$43</definedName>
    <definedName name="AWF_Q_7_freq">'SIPmath Chart Data'!$T$19:$T$30</definedName>
    <definedName name="AWF_Q_7_lbls">'SIPmath Chart Data'!$T$45:$T$56</definedName>
    <definedName name="AWF_Q_8">PMTable!$V$4:$V$103</definedName>
    <definedName name="AWF_Q_8_bins">'SIPmath Chart Data'!$U$7:$U$17</definedName>
    <definedName name="AWF_Q_8_cume">'SIPmath Chart Data'!$U$32:$U$43</definedName>
    <definedName name="AWF_Q_8_freq">'SIPmath Chart Data'!$U$19:$U$30</definedName>
    <definedName name="AWF_Q_8_lbls">'SIPmath Chart Data'!$U$45:$U$56</definedName>
    <definedName name="AWF_Q_9">PMTable!$W$4:$W$103</definedName>
    <definedName name="AWF_Q_9_bins">'SIPmath Chart Data'!$V$7:$V$17</definedName>
    <definedName name="AWF_Q_9_cume">'SIPmath Chart Data'!$V$32:$V$43</definedName>
    <definedName name="AWF_Q_9_freq">'SIPmath Chart Data'!$V$19:$V$30</definedName>
    <definedName name="AWF_Q_9_lbls">'SIPmath Chart Data'!$V$45:$V$56</definedName>
    <definedName name="library_file_name">"Ao Calculation Comparison Model 100(12 Feb 15)v2.xlsm"</definedName>
    <definedName name="local_library">TRUE</definedName>
    <definedName name="M_1">Library!$B$4:$CW$4</definedName>
    <definedName name="M_1_bins">'SIPmath Chart Data'!$AR$7:$AR$17</definedName>
    <definedName name="M_1_cume">'SIPmath Chart Data'!$AR$32:$AR$43</definedName>
    <definedName name="M_1_freq">'SIPmath Chart Data'!$AR$19:$AR$30</definedName>
    <definedName name="M_1_lbls">'SIPmath Chart Data'!$AR$45:$AR$56</definedName>
    <definedName name="M_10">Library!$B$13:$CW$13</definedName>
    <definedName name="M_10_bins">'SIPmath Chart Data'!$AS$7:$AS$17</definedName>
    <definedName name="M_10_cume">'SIPmath Chart Data'!$AS$32:$AS$43</definedName>
    <definedName name="M_10_freq">'SIPmath Chart Data'!$AS$19:$AS$30</definedName>
    <definedName name="M_10_lbls">'SIPmath Chart Data'!$AS$45:$AS$56</definedName>
    <definedName name="M_11">Library!$B$14:$CW$14</definedName>
    <definedName name="M_11_bins">'SIPmath Chart Data'!$AT$7:$AT$17</definedName>
    <definedName name="M_11_cume">'SIPmath Chart Data'!$AT$32:$AT$43</definedName>
    <definedName name="M_11_freq">'SIPmath Chart Data'!$AT$19:$AT$30</definedName>
    <definedName name="M_11_lbls">'SIPmath Chart Data'!$AT$45:$AT$56</definedName>
    <definedName name="M_12">Library!$B$15:$CW$15</definedName>
    <definedName name="M_12_bins">'SIPmath Chart Data'!$AU$7:$AU$17</definedName>
    <definedName name="M_12_cume">'SIPmath Chart Data'!$AU$32:$AU$43</definedName>
    <definedName name="M_12_freq">'SIPmath Chart Data'!$AU$19:$AU$30</definedName>
    <definedName name="M_12_lbls">'SIPmath Chart Data'!$AU$45:$AU$56</definedName>
    <definedName name="M_13">Library!$B$16:$CW$16</definedName>
    <definedName name="M_13_bins">'SIPmath Chart Data'!$AV$7:$AV$17</definedName>
    <definedName name="M_13_cume">'SIPmath Chart Data'!$AV$32:$AV$43</definedName>
    <definedName name="M_13_freq">'SIPmath Chart Data'!$AV$19:$AV$30</definedName>
    <definedName name="M_13_lbls">'SIPmath Chart Data'!$AV$45:$AV$56</definedName>
    <definedName name="M_14">Library!$B$17:$CW$17</definedName>
    <definedName name="M_14_bins">'SIPmath Chart Data'!$AW$7:$AW$17</definedName>
    <definedName name="M_14_cume">'SIPmath Chart Data'!$AW$32:$AW$43</definedName>
    <definedName name="M_14_freq">'SIPmath Chart Data'!$AW$19:$AW$30</definedName>
    <definedName name="M_14_lbls">'SIPmath Chart Data'!$AW$45:$AW$56</definedName>
    <definedName name="M_15">Library!$B$18:$CW$18</definedName>
    <definedName name="M_15_bins">'SIPmath Chart Data'!$AX$7:$AX$17</definedName>
    <definedName name="M_15_cume">'SIPmath Chart Data'!$AX$32:$AX$43</definedName>
    <definedName name="M_15_freq">'SIPmath Chart Data'!$AX$19:$AX$30</definedName>
    <definedName name="M_15_lbls">'SIPmath Chart Data'!$AX$45:$AX$56</definedName>
    <definedName name="M_16">Library!$B$19:$CW$19</definedName>
    <definedName name="M_16_bins">'SIPmath Chart Data'!$AY$7:$AY$17</definedName>
    <definedName name="M_16_cume">'SIPmath Chart Data'!$AY$32:$AY$43</definedName>
    <definedName name="M_16_freq">'SIPmath Chart Data'!$AY$19:$AY$30</definedName>
    <definedName name="M_16_lbls">'SIPmath Chart Data'!$AY$45:$AY$56</definedName>
    <definedName name="M_17">Library!$B$20:$CW$20</definedName>
    <definedName name="M_17_bins">'SIPmath Chart Data'!$AZ$7:$AZ$17</definedName>
    <definedName name="M_17_cume">'SIPmath Chart Data'!$AZ$32:$AZ$43</definedName>
    <definedName name="M_17_freq">'SIPmath Chart Data'!$AZ$19:$AZ$30</definedName>
    <definedName name="M_17_lbls">'SIPmath Chart Data'!$AZ$45:$AZ$56</definedName>
    <definedName name="M_18">Library!$B$21:$CW$21</definedName>
    <definedName name="M_18_bins">'SIPmath Chart Data'!$BA$7:$BA$17</definedName>
    <definedName name="M_18_cume">'SIPmath Chart Data'!$BA$32:$BA$43</definedName>
    <definedName name="M_18_freq">'SIPmath Chart Data'!$BA$19:$BA$30</definedName>
    <definedName name="M_18_lbls">'SIPmath Chart Data'!$BA$45:$BA$56</definedName>
    <definedName name="M_19">Library!$B$22:$CW$22</definedName>
    <definedName name="M_19_bins">'SIPmath Chart Data'!$BB$7:$BB$17</definedName>
    <definedName name="M_19_cume">'SIPmath Chart Data'!$BB$32:$BB$43</definedName>
    <definedName name="M_19_freq">'SIPmath Chart Data'!$BB$19:$BB$30</definedName>
    <definedName name="M_19_lbls">'SIPmath Chart Data'!$BB$45:$BB$56</definedName>
    <definedName name="M_2">Library!$B$5:$CW$5</definedName>
    <definedName name="M_2_bins">'SIPmath Chart Data'!$BC$7:$BC$17</definedName>
    <definedName name="M_2_cume">'SIPmath Chart Data'!$BC$32:$BC$43</definedName>
    <definedName name="M_2_freq">'SIPmath Chart Data'!$BC$19:$BC$30</definedName>
    <definedName name="M_2_lbls">'SIPmath Chart Data'!$BC$45:$BC$56</definedName>
    <definedName name="M_20">Library!$B$23:$CW$23</definedName>
    <definedName name="M_20_bins">'SIPmath Chart Data'!$BD$7:$BD$17</definedName>
    <definedName name="M_20_cume">'SIPmath Chart Data'!$BD$32:$BD$43</definedName>
    <definedName name="M_20_freq">'SIPmath Chart Data'!$BD$19:$BD$30</definedName>
    <definedName name="M_20_lbls">'SIPmath Chart Data'!$BD$45:$BD$56</definedName>
    <definedName name="M_21">Library!$B$24:$CW$24</definedName>
    <definedName name="M_21_bins">'SIPmath Chart Data'!$BE$7:$BE$17</definedName>
    <definedName name="M_21_cume">'SIPmath Chart Data'!$BE$32:$BE$43</definedName>
    <definedName name="M_21_freq">'SIPmath Chart Data'!$BE$19:$BE$30</definedName>
    <definedName name="M_21_lbls">'SIPmath Chart Data'!$BE$45:$BE$56</definedName>
    <definedName name="M_22">Library!$B$25:$CW$25</definedName>
    <definedName name="M_22_bins">'SIPmath Chart Data'!$BF$7:$BF$17</definedName>
    <definedName name="M_22_cume">'SIPmath Chart Data'!$BF$32:$BF$43</definedName>
    <definedName name="M_22_freq">'SIPmath Chart Data'!$BF$19:$BF$30</definedName>
    <definedName name="M_22_lbls">'SIPmath Chart Data'!$BF$45:$BF$56</definedName>
    <definedName name="M_23">Library!$B$26:$CW$26</definedName>
    <definedName name="M_23_bins">'SIPmath Chart Data'!$BG$7:$BG$17</definedName>
    <definedName name="M_23_cume">'SIPmath Chart Data'!$BG$32:$BG$43</definedName>
    <definedName name="M_23_freq">'SIPmath Chart Data'!$BG$19:$BG$30</definedName>
    <definedName name="M_23_lbls">'SIPmath Chart Data'!$BG$45:$BG$56</definedName>
    <definedName name="M_24">Library!$B$27:$CW$27</definedName>
    <definedName name="M_24_bins">'SIPmath Chart Data'!$BH$7:$BH$17</definedName>
    <definedName name="M_24_cume">'SIPmath Chart Data'!$BH$32:$BH$43</definedName>
    <definedName name="M_24_freq">'SIPmath Chart Data'!$BH$19:$BH$30</definedName>
    <definedName name="M_24_lbls">'SIPmath Chart Data'!$BH$45:$BH$56</definedName>
    <definedName name="M_25">Library!$B$28:$CW$28</definedName>
    <definedName name="M_25_bins">'SIPmath Chart Data'!$BI$7:$BI$17</definedName>
    <definedName name="M_25_cume">'SIPmath Chart Data'!$BI$32:$BI$43</definedName>
    <definedName name="M_25_freq">'SIPmath Chart Data'!$BI$19:$BI$30</definedName>
    <definedName name="M_25_lbls">'SIPmath Chart Data'!$BI$45:$BI$56</definedName>
    <definedName name="M_26">Library!$B$29:$CW$29</definedName>
    <definedName name="M_26_bins">'SIPmath Chart Data'!$BJ$7:$BJ$17</definedName>
    <definedName name="M_26_cume">'SIPmath Chart Data'!$BJ$32:$BJ$43</definedName>
    <definedName name="M_26_freq">'SIPmath Chart Data'!$BJ$19:$BJ$30</definedName>
    <definedName name="M_26_lbls">'SIPmath Chart Data'!$BJ$45:$BJ$56</definedName>
    <definedName name="M_27">Library!$B$30:$CW$30</definedName>
    <definedName name="M_27_bins">'SIPmath Chart Data'!$BK$7:$BK$17</definedName>
    <definedName name="M_27_cume">'SIPmath Chart Data'!$BK$32:$BK$43</definedName>
    <definedName name="M_27_freq">'SIPmath Chart Data'!$BK$19:$BK$30</definedName>
    <definedName name="M_27_lbls">'SIPmath Chart Data'!$BK$45:$BK$56</definedName>
    <definedName name="M_28">Library!$B$31:$CW$31</definedName>
    <definedName name="M_28_bins">'SIPmath Chart Data'!$BL$7:$BL$17</definedName>
    <definedName name="M_28_cume">'SIPmath Chart Data'!$BL$32:$BL$43</definedName>
    <definedName name="M_28_freq">'SIPmath Chart Data'!$BL$19:$BL$30</definedName>
    <definedName name="M_28_lbls">'SIPmath Chart Data'!$BL$45:$BL$56</definedName>
    <definedName name="M_29">Library!$B$32:$CW$32</definedName>
    <definedName name="M_29_bins">'SIPmath Chart Data'!$BM$7:$BM$17</definedName>
    <definedName name="M_29_cume">'SIPmath Chart Data'!$BM$32:$BM$43</definedName>
    <definedName name="M_29_freq">'SIPmath Chart Data'!$BM$19:$BM$30</definedName>
    <definedName name="M_29_lbls">'SIPmath Chart Data'!$BM$45:$BM$56</definedName>
    <definedName name="M_3">Library!$B$6:$CW$6</definedName>
    <definedName name="M_3_bins">'SIPmath Chart Data'!$BN$7:$BN$17</definedName>
    <definedName name="M_3_cume">'SIPmath Chart Data'!$BN$32:$BN$43</definedName>
    <definedName name="M_3_freq">'SIPmath Chart Data'!$BN$19:$BN$30</definedName>
    <definedName name="M_3_lbls">'SIPmath Chart Data'!$BN$45:$BN$56</definedName>
    <definedName name="M_30">Library!$B$33:$CW$33</definedName>
    <definedName name="M_30_bins">'SIPmath Chart Data'!$BO$7:$BO$17</definedName>
    <definedName name="M_30_cume">'SIPmath Chart Data'!$BO$32:$BO$43</definedName>
    <definedName name="M_30_freq">'SIPmath Chart Data'!$BO$19:$BO$30</definedName>
    <definedName name="M_30_lbls">'SIPmath Chart Data'!$BO$45:$BO$56</definedName>
    <definedName name="M_31">Library!$B$34:$CW$34</definedName>
    <definedName name="M_31_bins">'SIPmath Chart Data'!$BP$7:$BP$17</definedName>
    <definedName name="M_31_cume">'SIPmath Chart Data'!$BP$32:$BP$43</definedName>
    <definedName name="M_31_freq">'SIPmath Chart Data'!$BP$19:$BP$30</definedName>
    <definedName name="M_31_lbls">'SIPmath Chart Data'!$BP$45:$BP$56</definedName>
    <definedName name="M_32">Library!$B$35:$CW$35</definedName>
    <definedName name="M_32_bins">'SIPmath Chart Data'!$BQ$7:$BQ$17</definedName>
    <definedName name="M_32_cume">'SIPmath Chart Data'!$BQ$32:$BQ$43</definedName>
    <definedName name="M_32_freq">'SIPmath Chart Data'!$BQ$19:$BQ$30</definedName>
    <definedName name="M_32_lbls">'SIPmath Chart Data'!$BQ$45:$BQ$56</definedName>
    <definedName name="M_33">Library!$B$36:$CW$36</definedName>
    <definedName name="M_33_bins">'SIPmath Chart Data'!$BR$7:$BR$17</definedName>
    <definedName name="M_33_cume">'SIPmath Chart Data'!$BR$32:$BR$43</definedName>
    <definedName name="M_33_freq">'SIPmath Chart Data'!$BR$19:$BR$30</definedName>
    <definedName name="M_33_lbls">'SIPmath Chart Data'!$BR$45:$BR$56</definedName>
    <definedName name="M_34">Library!$B$37:$CW$37</definedName>
    <definedName name="M_34_bins">'SIPmath Chart Data'!$BS$7:$BS$17</definedName>
    <definedName name="M_34_cume">'SIPmath Chart Data'!$BS$32:$BS$43</definedName>
    <definedName name="M_34_freq">'SIPmath Chart Data'!$BS$19:$BS$30</definedName>
    <definedName name="M_34_lbls">'SIPmath Chart Data'!$BS$45:$BS$56</definedName>
    <definedName name="M_35">Library!$B$38:$CW$38</definedName>
    <definedName name="M_35_bins">'SIPmath Chart Data'!$BT$7:$BT$17</definedName>
    <definedName name="M_35_cume">'SIPmath Chart Data'!$BT$32:$BT$43</definedName>
    <definedName name="M_35_freq">'SIPmath Chart Data'!$BT$19:$BT$30</definedName>
    <definedName name="M_35_lbls">'SIPmath Chart Data'!$BT$45:$BT$56</definedName>
    <definedName name="M_36">Library!$B$39:$CW$39</definedName>
    <definedName name="M_36_bins">'SIPmath Chart Data'!$BU$7:$BU$17</definedName>
    <definedName name="M_36_cume">'SIPmath Chart Data'!$BU$32:$BU$43</definedName>
    <definedName name="M_36_freq">'SIPmath Chart Data'!$BU$19:$BU$30</definedName>
    <definedName name="M_36_lbls">'SIPmath Chart Data'!$BU$45:$BU$56</definedName>
    <definedName name="M_4">Library!$B$7:$CW$7</definedName>
    <definedName name="M_4_bins">'SIPmath Chart Data'!$BV$7:$BV$17</definedName>
    <definedName name="M_4_cume">'SIPmath Chart Data'!$BV$32:$BV$43</definedName>
    <definedName name="M_4_freq">'SIPmath Chart Data'!$BV$19:$BV$30</definedName>
    <definedName name="M_4_lbls">'SIPmath Chart Data'!$BV$45:$BV$56</definedName>
    <definedName name="M_5">Library!$B$8:$CW$8</definedName>
    <definedName name="M_5_bins">'SIPmath Chart Data'!$BW$7:$BW$17</definedName>
    <definedName name="M_5_cume">'SIPmath Chart Data'!$BW$32:$BW$43</definedName>
    <definedName name="M_5_freq">'SIPmath Chart Data'!$BW$19:$BW$30</definedName>
    <definedName name="M_5_lbls">'SIPmath Chart Data'!$BW$45:$BW$56</definedName>
    <definedName name="M_6">Library!$B$9:$CW$9</definedName>
    <definedName name="M_6_bins">'SIPmath Chart Data'!$BX$7:$BX$17</definedName>
    <definedName name="M_6_cume">'SIPmath Chart Data'!$BX$32:$BX$43</definedName>
    <definedName name="M_6_freq">'SIPmath Chart Data'!$BX$19:$BX$30</definedName>
    <definedName name="M_6_lbls">'SIPmath Chart Data'!$BX$45:$BX$56</definedName>
    <definedName name="M_7">Library!$B$10:$CW$10</definedName>
    <definedName name="M_7_bins">'SIPmath Chart Data'!$BY$7:$BY$17</definedName>
    <definedName name="M_7_cume">'SIPmath Chart Data'!$BY$32:$BY$43</definedName>
    <definedName name="M_7_freq">'SIPmath Chart Data'!$BY$19:$BY$30</definedName>
    <definedName name="M_7_lbls">'SIPmath Chart Data'!$BY$45:$BY$56</definedName>
    <definedName name="M_8">Library!$B$11:$CW$11</definedName>
    <definedName name="M_8_bins">'SIPmath Chart Data'!$BZ$7:$BZ$17</definedName>
    <definedName name="M_8_cume">'SIPmath Chart Data'!$BZ$32:$BZ$43</definedName>
    <definedName name="M_8_freq">'SIPmath Chart Data'!$BZ$19:$BZ$30</definedName>
    <definedName name="M_8_lbls">'SIPmath Chart Data'!$BZ$45:$BZ$56</definedName>
    <definedName name="M_9">Library!$B$12:$CW$12</definedName>
    <definedName name="M_9_bins">'SIPmath Chart Data'!$CA$7:$CA$17</definedName>
    <definedName name="M_9_cume">'SIPmath Chart Data'!$CA$32:$CA$43</definedName>
    <definedName name="M_9_freq">'SIPmath Chart Data'!$CA$19:$CA$30</definedName>
    <definedName name="M_9_lbls">'SIPmath Chart Data'!$CA$45:$CA$56</definedName>
    <definedName name="Monthly_Max">Library!$B$41:$CX$41</definedName>
    <definedName name="Monthly_Min">Library!$B$42:$CX$42</definedName>
    <definedName name="PM_Index">PMTable!$A$1</definedName>
    <definedName name="PM_Trials">PM_Trials!$A$1</definedName>
    <definedName name="Q_1">Library!$B$47:$CW$47</definedName>
    <definedName name="Q_1_bins">'SIPmath Chart Data'!$B$7:$B$17</definedName>
    <definedName name="Q_1_cume">'SIPmath Chart Data'!$B$32:$B$43</definedName>
    <definedName name="Q_1_freq">'SIPmath Chart Data'!$B$19:$B$30</definedName>
    <definedName name="Q_1_lbls">'SIPmath Chart Data'!$B$45:$B$56</definedName>
    <definedName name="Q_10">Library!$B$56:$CW$56</definedName>
    <definedName name="Q_10_bins">'SIPmath Chart Data'!$C$7:$C$17</definedName>
    <definedName name="Q_10_cume">'SIPmath Chart Data'!$C$32:$C$43</definedName>
    <definedName name="Q_10_freq">'SIPmath Chart Data'!$C$19:$C$30</definedName>
    <definedName name="Q_10_lbls">'SIPmath Chart Data'!$C$45:$C$56</definedName>
    <definedName name="Q_11">Library!$B$57:$CW$57</definedName>
    <definedName name="Q_11_bins">'SIPmath Chart Data'!$D$7:$D$17</definedName>
    <definedName name="Q_11_cume">'SIPmath Chart Data'!$D$32:$D$43</definedName>
    <definedName name="Q_11_freq">'SIPmath Chart Data'!$D$19:$D$30</definedName>
    <definedName name="Q_11_lbls">'SIPmath Chart Data'!$D$45:$D$56</definedName>
    <definedName name="Q_12">Library!$B$58:$CW$58</definedName>
    <definedName name="Q_12_bins">'SIPmath Chart Data'!$E$7:$E$17</definedName>
    <definedName name="Q_12_cume">'SIPmath Chart Data'!$E$32:$E$43</definedName>
    <definedName name="Q_12_freq">'SIPmath Chart Data'!$E$19:$E$30</definedName>
    <definedName name="Q_12_lbls">'SIPmath Chart Data'!$E$45:$E$56</definedName>
    <definedName name="Q_2">Library!$B$48:$CW$48</definedName>
    <definedName name="Q_2_bins">'SIPmath Chart Data'!$F$7:$F$17</definedName>
    <definedName name="Q_2_cume">'SIPmath Chart Data'!$F$32:$F$43</definedName>
    <definedName name="Q_2_freq">'SIPmath Chart Data'!$F$19:$F$30</definedName>
    <definedName name="Q_2_lbls">'SIPmath Chart Data'!$F$45:$F$56</definedName>
    <definedName name="Q_3">Library!$B$49:$CW$49</definedName>
    <definedName name="Q_3_bins">'SIPmath Chart Data'!$G$7:$G$17</definedName>
    <definedName name="Q_3_cume">'SIPmath Chart Data'!$G$32:$G$43</definedName>
    <definedName name="Q_3_freq">'SIPmath Chart Data'!$G$19:$G$30</definedName>
    <definedName name="Q_3_lbls">'SIPmath Chart Data'!$G$45:$G$56</definedName>
    <definedName name="Q_4">Library!$B$50:$CW$50</definedName>
    <definedName name="Q_4_bins">'SIPmath Chart Data'!$H$7:$H$17</definedName>
    <definedName name="Q_4_cume">'SIPmath Chart Data'!$H$32:$H$43</definedName>
    <definedName name="Q_4_freq">'SIPmath Chart Data'!$H$19:$H$30</definedName>
    <definedName name="Q_4_lbls">'SIPmath Chart Data'!$H$45:$H$56</definedName>
    <definedName name="Q_5">Library!$B$51:$CW$51</definedName>
    <definedName name="Q_5_bins">'SIPmath Chart Data'!$I$7:$I$17</definedName>
    <definedName name="Q_5_cume">'SIPmath Chart Data'!$I$32:$I$43</definedName>
    <definedName name="Q_5_freq">'SIPmath Chart Data'!$I$19:$I$30</definedName>
    <definedName name="Q_5_lbls">'SIPmath Chart Data'!$I$45:$I$56</definedName>
    <definedName name="Q_6">Library!$B$52:$CW$52</definedName>
    <definedName name="Q_6_bins">'SIPmath Chart Data'!$J$7:$J$17</definedName>
    <definedName name="Q_6_cume">'SIPmath Chart Data'!$J$32:$J$43</definedName>
    <definedName name="Q_6_freq">'SIPmath Chart Data'!$J$19:$J$30</definedName>
    <definedName name="Q_6_lbls">'SIPmath Chart Data'!$J$45:$J$56</definedName>
    <definedName name="Q_7">Library!$B$53:$CW$53</definedName>
    <definedName name="Q_7_bins">'SIPmath Chart Data'!$K$7:$K$17</definedName>
    <definedName name="Q_7_cume">'SIPmath Chart Data'!$K$32:$K$43</definedName>
    <definedName name="Q_7_freq">'SIPmath Chart Data'!$K$19:$K$30</definedName>
    <definedName name="Q_7_lbls">'SIPmath Chart Data'!$K$45:$K$56</definedName>
    <definedName name="Q_8">Library!$B$54:$CW$54</definedName>
    <definedName name="Q_8_bins">'SIPmath Chart Data'!$L$7:$L$17</definedName>
    <definedName name="Q_8_cume">'SIPmath Chart Data'!$L$32:$L$43</definedName>
    <definedName name="Q_8_freq">'SIPmath Chart Data'!$L$19:$L$30</definedName>
    <definedName name="Q_8_lbls">'SIPmath Chart Data'!$L$45:$L$56</definedName>
    <definedName name="Q_9">Library!$B$55:$CW$55</definedName>
    <definedName name="Q_9_bins">'SIPmath Chart Data'!$M$7:$M$17</definedName>
    <definedName name="Q_9_cume">'SIPmath Chart Data'!$M$32:$M$43</definedName>
    <definedName name="Q_9_freq">'SIPmath Chart Data'!$M$19:$M$30</definedName>
    <definedName name="Q_9_lbls">'SIPmath Chart Data'!$M$45:$M$56</definedName>
    <definedName name="Qtrly_Max">Library!$B$60:$CX$60</definedName>
    <definedName name="Qtrly_Min">Library!$B$61:$CX$61</definedName>
    <definedName name="RQ_1">Library!$B$65:$CW$65</definedName>
    <definedName name="RQ_1_bins">'SIPmath Chart Data'!$AC$7:$AC$17</definedName>
    <definedName name="RQ_1_cume">'SIPmath Chart Data'!$AC$32:$AC$43</definedName>
    <definedName name="RQ_1_freq">'SIPmath Chart Data'!$AC$19:$AC$30</definedName>
    <definedName name="RQ_1_lbls">'SIPmath Chart Data'!$AC$45:$AC$56</definedName>
    <definedName name="RQ_10">Library!$B$74:$CW$74</definedName>
    <definedName name="RQ_10_bins">'SIPmath Chart Data'!$AD$7:$AD$17</definedName>
    <definedName name="RQ_10_cume">'SIPmath Chart Data'!$AD$32:$AD$43</definedName>
    <definedName name="RQ_10_freq">'SIPmath Chart Data'!$AD$19:$AD$30</definedName>
    <definedName name="RQ_10_lbls">'SIPmath Chart Data'!$AD$45:$AD$56</definedName>
    <definedName name="RQ_11">Library!$B$75:$CW$75</definedName>
    <definedName name="RQ_11_bins">'SIPmath Chart Data'!$AE$7:$AE$17</definedName>
    <definedName name="RQ_11_cume">'SIPmath Chart Data'!$AE$32:$AE$43</definedName>
    <definedName name="RQ_11_freq">'SIPmath Chart Data'!$AE$19:$AE$30</definedName>
    <definedName name="RQ_11_lbls">'SIPmath Chart Data'!$AE$45:$AE$56</definedName>
    <definedName name="RQ_12">Library!$B$76:$CW$76</definedName>
    <definedName name="RQ_12_bins">'SIPmath Chart Data'!$AF$7:$AF$17</definedName>
    <definedName name="RQ_12_cume">'SIPmath Chart Data'!$AF$32:$AF$43</definedName>
    <definedName name="RQ_12_freq">'SIPmath Chart Data'!$AF$19:$AF$30</definedName>
    <definedName name="RQ_12_lbls">'SIPmath Chart Data'!$AF$45:$AF$56</definedName>
    <definedName name="RQ_2">Library!$B$66:$CW$66</definedName>
    <definedName name="RQ_2_bins">'SIPmath Chart Data'!$AG$7:$AG$17</definedName>
    <definedName name="RQ_2_cume">'SIPmath Chart Data'!$AG$32:$AG$43</definedName>
    <definedName name="RQ_2_freq">'SIPmath Chart Data'!$AG$19:$AG$30</definedName>
    <definedName name="RQ_2_lbls">'SIPmath Chart Data'!$AG$45:$AG$56</definedName>
    <definedName name="RQ_3">Library!$B$67:$CW$67</definedName>
    <definedName name="RQ_3_bins">'SIPmath Chart Data'!$AH$7:$AH$17</definedName>
    <definedName name="RQ_3_cume">'SIPmath Chart Data'!$AH$32:$AH$43</definedName>
    <definedName name="RQ_3_freq">'SIPmath Chart Data'!$AH$19:$AH$30</definedName>
    <definedName name="RQ_3_lbls">'SIPmath Chart Data'!$AH$45:$AH$56</definedName>
    <definedName name="RQ_4">Library!$B$68:$CW$68</definedName>
    <definedName name="RQ_4_bins">'SIPmath Chart Data'!$AI$7:$AI$17</definedName>
    <definedName name="RQ_4_cume">'SIPmath Chart Data'!$AI$32:$AI$43</definedName>
    <definedName name="RQ_4_freq">'SIPmath Chart Data'!$AI$19:$AI$30</definedName>
    <definedName name="RQ_4_lbls">'SIPmath Chart Data'!$AI$45:$AI$56</definedName>
    <definedName name="RQ_5">Library!$B$69:$CW$69</definedName>
    <definedName name="RQ_5_bins">'SIPmath Chart Data'!$AJ$7:$AJ$17</definedName>
    <definedName name="RQ_5_cume">'SIPmath Chart Data'!$AJ$32:$AJ$43</definedName>
    <definedName name="RQ_5_freq">'SIPmath Chart Data'!$AJ$19:$AJ$30</definedName>
    <definedName name="RQ_5_lbls">'SIPmath Chart Data'!$AJ$45:$AJ$56</definedName>
    <definedName name="RQ_6">Library!$B$70:$CW$70</definedName>
    <definedName name="RQ_6_bins">'SIPmath Chart Data'!$AK$7:$AK$17</definedName>
    <definedName name="RQ_6_cume">'SIPmath Chart Data'!$AK$32:$AK$43</definedName>
    <definedName name="RQ_6_freq">'SIPmath Chart Data'!$AK$19:$AK$30</definedName>
    <definedName name="RQ_6_lbls">'SIPmath Chart Data'!$AK$45:$AK$56</definedName>
    <definedName name="RQ_7">Library!$B$71:$CW$71</definedName>
    <definedName name="RQ_7_bins">'SIPmath Chart Data'!$AL$7:$AL$17</definedName>
    <definedName name="RQ_7_cume">'SIPmath Chart Data'!$AL$32:$AL$43</definedName>
    <definedName name="RQ_7_freq">'SIPmath Chart Data'!$AL$19:$AL$30</definedName>
    <definedName name="RQ_7_lbls">'SIPmath Chart Data'!$AL$45:$AL$56</definedName>
    <definedName name="RQ_8">Library!$B$72:$CW$72</definedName>
    <definedName name="RQ_8_bins">'SIPmath Chart Data'!$AM$7:$AM$17</definedName>
    <definedName name="RQ_8_cume">'SIPmath Chart Data'!$AM$32:$AM$43</definedName>
    <definedName name="RQ_8_freq">'SIPmath Chart Data'!$AM$19:$AM$30</definedName>
    <definedName name="RQ_8_lbls">'SIPmath Chart Data'!$AM$45:$AM$56</definedName>
    <definedName name="RQ_9">Library!$B$73:$CW$73</definedName>
    <definedName name="RQ_9_bins">'SIPmath Chart Data'!$AN$7:$AN$17</definedName>
    <definedName name="RQ_9_cume">'SIPmath Chart Data'!$AN$32:$AN$43</definedName>
    <definedName name="RQ_9_freq">'SIPmath Chart Data'!$AN$19:$AN$30</definedName>
    <definedName name="RQ_9_lbls">'SIPmath Chart Data'!$AN$45:$AN$56</definedName>
    <definedName name="Rqtrly_Max">Library!$B$78:$CX$78</definedName>
    <definedName name="Rqtrly_Min">Library!$B$79:$CX$79</definedName>
    <definedName name="solver_typ" localSheetId="1" hidden="1">2</definedName>
    <definedName name="solver_userid" localSheetId="1" hidden="1">1508</definedName>
    <definedName name="solver_userid" localSheetId="0" hidden="1">1508</definedName>
    <definedName name="solver_userid" localSheetId="2" hidden="1">1508</definedName>
    <definedName name="solver_userid" localSheetId="3" hidden="1">1508</definedName>
    <definedName name="solver_userid" localSheetId="4" hidden="1">1508</definedName>
    <definedName name="solver_ver" localSheetId="1" hidden="1">14</definedName>
    <definedName name="sparklinesForInputs" hidden="1">TRUE</definedName>
    <definedName name="sparklinesForOutputs" hidden="1">TRUE</definedName>
    <definedName name="sparklinesIONumberOfBins" hidden="1">10</definedName>
    <definedName name="Three_Year_Average">Library!$B$40:$CW$40</definedName>
    <definedName name="Three_Year_Average_bins">'SIPmath Chart Data'!$CD$7:$CD$17</definedName>
    <definedName name="Three_Year_Average_cume">'SIPmath Chart Data'!$CD$32:$CD$43</definedName>
    <definedName name="Three_Year_Average_freq">'SIPmath Chart Data'!$CD$19:$CD$30</definedName>
    <definedName name="Three_Year_Average_lbls">'SIPmath Chart Data'!$CD$45:$CD$56</definedName>
    <definedName name="Total_Monthly_Award_Fee">PMTable!$E$4:$E$103</definedName>
    <definedName name="Total_Monthly_Award_Fee_bins">'SIPmath Chart Data'!$CF$7:$CF$17</definedName>
    <definedName name="Total_Monthly_Award_Fee_cume">'SIPmath Chart Data'!$CF$32:$CF$43</definedName>
    <definedName name="Total_Monthly_Award_Fee_freq">'SIPmath Chart Data'!$CF$19:$CF$30</definedName>
    <definedName name="Total_Monthly_Award_Fee_lbls">'SIPmath Chart Data'!$CF$45:$CF$56</definedName>
    <definedName name="Total_Quartery_Award_Fee">PMTable!$D$4:$D$103</definedName>
    <definedName name="Total_Quartery_Award_Fee_bins">'SIPmath Chart Data'!$CG$7:$CG$17</definedName>
    <definedName name="Total_Quartery_Award_Fee_cume">'SIPmath Chart Data'!$CG$32:$CG$43</definedName>
    <definedName name="Total_Quartery_Award_Fee_freq">'SIPmath Chart Data'!$CG$19:$CG$30</definedName>
    <definedName name="Total_Quartery_Award_Fee_lbls">'SIPmath Chart Data'!$CG$45:$CG$56</definedName>
    <definedName name="Total_Roling_Qtrly_Awrd_Fee">PMTable!$C$4:$C$103</definedName>
    <definedName name="Total_Roling_Qtrly_Awrd_Fee_bins">'SIPmath Chart Data'!$CH$7:$CH$17</definedName>
    <definedName name="Total_Roling_Qtrly_Awrd_Fee_cume">'SIPmath Chart Data'!$CH$32:$CH$43</definedName>
    <definedName name="Total_Roling_Qtrly_Awrd_Fee_freq">'SIPmath Chart Data'!$CH$19:$CH$30</definedName>
    <definedName name="Total_Roling_Qtrly_Awrd_Fee_lbls">'SIPmath Chart Data'!$CH$45:$CH$56</definedName>
    <definedName name="TY_Max">Library!$B$83:$CX$83</definedName>
    <definedName name="TY_Min">Library!$B$84:$CX$84</definedName>
    <definedName name="TYA_AF">PMTable!$F$4:$F$103</definedName>
    <definedName name="TYA_AF_bins">'SIPmath Chart Data'!$CI$7:$CI$17</definedName>
    <definedName name="TYA_AF_cume">'SIPmath Chart Data'!$CI$32:$CI$43</definedName>
    <definedName name="TYA_AF_freq">'SIPmath Chart Data'!$CI$19:$CI$30</definedName>
    <definedName name="TYA_AF_lbls">'SIPmath Chart Data'!$CI$45:$CI$56</definedName>
  </definedNames>
  <calcPr calcId="145621"/>
</workbook>
</file>

<file path=xl/calcChain.xml><?xml version="1.0" encoding="utf-8"?>
<calcChain xmlns="http://schemas.openxmlformats.org/spreadsheetml/2006/main">
  <c r="D10" i="7" l="1"/>
  <c r="D11" i="7" s="1"/>
  <c r="P121" i="3"/>
  <c r="Y3" i="3" s="1"/>
  <c r="R126" i="3"/>
  <c r="CX83" i="1"/>
  <c r="CX84" i="1"/>
  <c r="R123" i="3" l="1"/>
  <c r="R127" i="3"/>
  <c r="R124" i="3"/>
  <c r="R128" i="3"/>
  <c r="R125" i="3"/>
  <c r="S126" i="3" s="1"/>
  <c r="S124" i="3" l="1"/>
  <c r="S128" i="3"/>
  <c r="R122" i="3" l="1"/>
  <c r="R121" i="3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84" i="1"/>
  <c r="C85" i="1" s="1"/>
  <c r="D84" i="1"/>
  <c r="E84" i="1"/>
  <c r="E85" i="1" s="1"/>
  <c r="F84" i="1"/>
  <c r="G84" i="1"/>
  <c r="G85" i="1" s="1"/>
  <c r="H84" i="1"/>
  <c r="I84" i="1"/>
  <c r="I85" i="1" s="1"/>
  <c r="J84" i="1"/>
  <c r="K84" i="1"/>
  <c r="K85" i="1" s="1"/>
  <c r="L84" i="1"/>
  <c r="M84" i="1"/>
  <c r="M85" i="1" s="1"/>
  <c r="N84" i="1"/>
  <c r="O84" i="1"/>
  <c r="O85" i="1" s="1"/>
  <c r="P84" i="1"/>
  <c r="Q84" i="1"/>
  <c r="Q85" i="1" s="1"/>
  <c r="R84" i="1"/>
  <c r="S84" i="1"/>
  <c r="S85" i="1" s="1"/>
  <c r="T84" i="1"/>
  <c r="U84" i="1"/>
  <c r="U85" i="1" s="1"/>
  <c r="V84" i="1"/>
  <c r="W84" i="1"/>
  <c r="W85" i="1" s="1"/>
  <c r="X84" i="1"/>
  <c r="Y84" i="1"/>
  <c r="Y85" i="1" s="1"/>
  <c r="Z84" i="1"/>
  <c r="AA84" i="1"/>
  <c r="AA85" i="1" s="1"/>
  <c r="AB84" i="1"/>
  <c r="AC84" i="1"/>
  <c r="AC85" i="1" s="1"/>
  <c r="AD84" i="1"/>
  <c r="AE84" i="1"/>
  <c r="AE85" i="1" s="1"/>
  <c r="AF84" i="1"/>
  <c r="AG84" i="1"/>
  <c r="AG85" i="1" s="1"/>
  <c r="AH84" i="1"/>
  <c r="AI84" i="1"/>
  <c r="AI85" i="1" s="1"/>
  <c r="AJ84" i="1"/>
  <c r="AK84" i="1"/>
  <c r="AK85" i="1" s="1"/>
  <c r="AL84" i="1"/>
  <c r="AM84" i="1"/>
  <c r="AM85" i="1" s="1"/>
  <c r="AN84" i="1"/>
  <c r="AO84" i="1"/>
  <c r="AO85" i="1" s="1"/>
  <c r="AP84" i="1"/>
  <c r="AQ84" i="1"/>
  <c r="AQ85" i="1" s="1"/>
  <c r="AR84" i="1"/>
  <c r="AS84" i="1"/>
  <c r="AS85" i="1" s="1"/>
  <c r="AT84" i="1"/>
  <c r="AU84" i="1"/>
  <c r="AU85" i="1" s="1"/>
  <c r="AV84" i="1"/>
  <c r="AW84" i="1"/>
  <c r="AW85" i="1" s="1"/>
  <c r="AX84" i="1"/>
  <c r="AY84" i="1"/>
  <c r="AY85" i="1" s="1"/>
  <c r="AZ84" i="1"/>
  <c r="BA84" i="1"/>
  <c r="BA85" i="1" s="1"/>
  <c r="BB84" i="1"/>
  <c r="BC84" i="1"/>
  <c r="BC85" i="1" s="1"/>
  <c r="BD84" i="1"/>
  <c r="BE84" i="1"/>
  <c r="BE85" i="1" s="1"/>
  <c r="BF84" i="1"/>
  <c r="BG84" i="1"/>
  <c r="BG85" i="1" s="1"/>
  <c r="BH84" i="1"/>
  <c r="BI84" i="1"/>
  <c r="BI85" i="1" s="1"/>
  <c r="BJ84" i="1"/>
  <c r="BK84" i="1"/>
  <c r="BK85" i="1" s="1"/>
  <c r="BL84" i="1"/>
  <c r="BM84" i="1"/>
  <c r="BM85" i="1" s="1"/>
  <c r="BN84" i="1"/>
  <c r="BO84" i="1"/>
  <c r="BO85" i="1" s="1"/>
  <c r="BP84" i="1"/>
  <c r="BQ84" i="1"/>
  <c r="BQ85" i="1" s="1"/>
  <c r="BR84" i="1"/>
  <c r="BS84" i="1"/>
  <c r="BS85" i="1" s="1"/>
  <c r="BT84" i="1"/>
  <c r="BU84" i="1"/>
  <c r="BU85" i="1" s="1"/>
  <c r="BV84" i="1"/>
  <c r="BW84" i="1"/>
  <c r="BW85" i="1" s="1"/>
  <c r="BX84" i="1"/>
  <c r="BY84" i="1"/>
  <c r="BY85" i="1" s="1"/>
  <c r="BZ84" i="1"/>
  <c r="CA84" i="1"/>
  <c r="CA85" i="1" s="1"/>
  <c r="CB84" i="1"/>
  <c r="CC84" i="1"/>
  <c r="CC85" i="1" s="1"/>
  <c r="CD84" i="1"/>
  <c r="CE84" i="1"/>
  <c r="CE85" i="1" s="1"/>
  <c r="CF84" i="1"/>
  <c r="CG84" i="1"/>
  <c r="CG85" i="1" s="1"/>
  <c r="CH84" i="1"/>
  <c r="CI84" i="1"/>
  <c r="CI85" i="1" s="1"/>
  <c r="CJ84" i="1"/>
  <c r="CK84" i="1"/>
  <c r="CK85" i="1" s="1"/>
  <c r="CL84" i="1"/>
  <c r="CM84" i="1"/>
  <c r="CM85" i="1" s="1"/>
  <c r="CN84" i="1"/>
  <c r="CO84" i="1"/>
  <c r="CO85" i="1" s="1"/>
  <c r="CP84" i="1"/>
  <c r="CQ84" i="1"/>
  <c r="CQ85" i="1" s="1"/>
  <c r="CR84" i="1"/>
  <c r="CS84" i="1"/>
  <c r="CS85" i="1" s="1"/>
  <c r="CT84" i="1"/>
  <c r="CU84" i="1"/>
  <c r="CU85" i="1" s="1"/>
  <c r="CV84" i="1"/>
  <c r="CW84" i="1"/>
  <c r="CW85" i="1" s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AD85" i="1"/>
  <c r="AF85" i="1"/>
  <c r="AH85" i="1"/>
  <c r="AJ85" i="1"/>
  <c r="AL85" i="1"/>
  <c r="AN85" i="1"/>
  <c r="AP85" i="1"/>
  <c r="AR85" i="1"/>
  <c r="AT85" i="1"/>
  <c r="AV85" i="1"/>
  <c r="AX85" i="1"/>
  <c r="AZ85" i="1"/>
  <c r="BB85" i="1"/>
  <c r="BD85" i="1"/>
  <c r="BF85" i="1"/>
  <c r="BH85" i="1"/>
  <c r="BJ85" i="1"/>
  <c r="BL85" i="1"/>
  <c r="BN85" i="1"/>
  <c r="BP85" i="1"/>
  <c r="BR85" i="1"/>
  <c r="BT85" i="1"/>
  <c r="BV85" i="1"/>
  <c r="BX85" i="1"/>
  <c r="BZ85" i="1"/>
  <c r="CB85" i="1"/>
  <c r="CD85" i="1"/>
  <c r="CF85" i="1"/>
  <c r="CH85" i="1"/>
  <c r="CJ85" i="1"/>
  <c r="CL85" i="1"/>
  <c r="CN85" i="1"/>
  <c r="CP85" i="1"/>
  <c r="CR85" i="1"/>
  <c r="CT85" i="1"/>
  <c r="CV85" i="1"/>
  <c r="B85" i="1"/>
  <c r="B84" i="1"/>
  <c r="B83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B79" i="1"/>
  <c r="B78" i="1"/>
  <c r="B80" i="1" s="1"/>
  <c r="CX60" i="1"/>
  <c r="CX62" i="1" s="1"/>
  <c r="CX61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61" i="1"/>
  <c r="C62" i="1" s="1"/>
  <c r="D61" i="1"/>
  <c r="E61" i="1"/>
  <c r="E62" i="1" s="1"/>
  <c r="F61" i="1"/>
  <c r="G61" i="1"/>
  <c r="G62" i="1" s="1"/>
  <c r="H61" i="1"/>
  <c r="I61" i="1"/>
  <c r="I62" i="1" s="1"/>
  <c r="J61" i="1"/>
  <c r="K61" i="1"/>
  <c r="K62" i="1" s="1"/>
  <c r="L61" i="1"/>
  <c r="M61" i="1"/>
  <c r="M62" i="1" s="1"/>
  <c r="N61" i="1"/>
  <c r="O61" i="1"/>
  <c r="O62" i="1" s="1"/>
  <c r="P61" i="1"/>
  <c r="Q61" i="1"/>
  <c r="Q62" i="1" s="1"/>
  <c r="R61" i="1"/>
  <c r="S61" i="1"/>
  <c r="S62" i="1" s="1"/>
  <c r="T61" i="1"/>
  <c r="U61" i="1"/>
  <c r="U62" i="1" s="1"/>
  <c r="V61" i="1"/>
  <c r="W61" i="1"/>
  <c r="W62" i="1" s="1"/>
  <c r="X61" i="1"/>
  <c r="Y61" i="1"/>
  <c r="Y62" i="1" s="1"/>
  <c r="Z61" i="1"/>
  <c r="AA61" i="1"/>
  <c r="AA62" i="1" s="1"/>
  <c r="AB61" i="1"/>
  <c r="AC61" i="1"/>
  <c r="AC62" i="1" s="1"/>
  <c r="AD61" i="1"/>
  <c r="AE61" i="1"/>
  <c r="AE62" i="1" s="1"/>
  <c r="AF61" i="1"/>
  <c r="AG61" i="1"/>
  <c r="AG62" i="1" s="1"/>
  <c r="AH61" i="1"/>
  <c r="AI61" i="1"/>
  <c r="AI62" i="1" s="1"/>
  <c r="AJ61" i="1"/>
  <c r="AK61" i="1"/>
  <c r="AK62" i="1" s="1"/>
  <c r="AL61" i="1"/>
  <c r="AM61" i="1"/>
  <c r="AM62" i="1" s="1"/>
  <c r="AN61" i="1"/>
  <c r="AO61" i="1"/>
  <c r="AO62" i="1" s="1"/>
  <c r="AP61" i="1"/>
  <c r="AQ61" i="1"/>
  <c r="AQ62" i="1" s="1"/>
  <c r="AR61" i="1"/>
  <c r="AS61" i="1"/>
  <c r="AS62" i="1" s="1"/>
  <c r="AT61" i="1"/>
  <c r="AU61" i="1"/>
  <c r="AU62" i="1" s="1"/>
  <c r="AV61" i="1"/>
  <c r="AW61" i="1"/>
  <c r="AW62" i="1" s="1"/>
  <c r="AX61" i="1"/>
  <c r="AY61" i="1"/>
  <c r="AY62" i="1" s="1"/>
  <c r="AZ61" i="1"/>
  <c r="BA61" i="1"/>
  <c r="BA62" i="1" s="1"/>
  <c r="BB61" i="1"/>
  <c r="BC61" i="1"/>
  <c r="BC62" i="1" s="1"/>
  <c r="BD61" i="1"/>
  <c r="BE61" i="1"/>
  <c r="BE62" i="1" s="1"/>
  <c r="BF61" i="1"/>
  <c r="BG61" i="1"/>
  <c r="BG62" i="1" s="1"/>
  <c r="BH61" i="1"/>
  <c r="BI61" i="1"/>
  <c r="BI62" i="1" s="1"/>
  <c r="BJ61" i="1"/>
  <c r="BK61" i="1"/>
  <c r="BK62" i="1" s="1"/>
  <c r="BL61" i="1"/>
  <c r="BM61" i="1"/>
  <c r="BM62" i="1" s="1"/>
  <c r="BN61" i="1"/>
  <c r="BO61" i="1"/>
  <c r="BO62" i="1" s="1"/>
  <c r="BP61" i="1"/>
  <c r="BQ61" i="1"/>
  <c r="BQ62" i="1" s="1"/>
  <c r="BR61" i="1"/>
  <c r="BS61" i="1"/>
  <c r="BS62" i="1" s="1"/>
  <c r="BT61" i="1"/>
  <c r="BU61" i="1"/>
  <c r="BU62" i="1" s="1"/>
  <c r="BV61" i="1"/>
  <c r="BW61" i="1"/>
  <c r="BW62" i="1" s="1"/>
  <c r="BX61" i="1"/>
  <c r="BY61" i="1"/>
  <c r="BY62" i="1" s="1"/>
  <c r="BZ61" i="1"/>
  <c r="CA61" i="1"/>
  <c r="CA62" i="1" s="1"/>
  <c r="CB61" i="1"/>
  <c r="CC61" i="1"/>
  <c r="CC62" i="1" s="1"/>
  <c r="CD61" i="1"/>
  <c r="CE61" i="1"/>
  <c r="CE62" i="1" s="1"/>
  <c r="CF61" i="1"/>
  <c r="CG61" i="1"/>
  <c r="CG62" i="1" s="1"/>
  <c r="CH61" i="1"/>
  <c r="CI61" i="1"/>
  <c r="CI62" i="1" s="1"/>
  <c r="CJ61" i="1"/>
  <c r="CK61" i="1"/>
  <c r="CK62" i="1" s="1"/>
  <c r="CL61" i="1"/>
  <c r="CM61" i="1"/>
  <c r="CM62" i="1" s="1"/>
  <c r="CN61" i="1"/>
  <c r="CO61" i="1"/>
  <c r="CO62" i="1" s="1"/>
  <c r="CP61" i="1"/>
  <c r="CQ61" i="1"/>
  <c r="CQ62" i="1" s="1"/>
  <c r="CR61" i="1"/>
  <c r="CS61" i="1"/>
  <c r="CS62" i="1" s="1"/>
  <c r="CT61" i="1"/>
  <c r="CU61" i="1"/>
  <c r="CU62" i="1" s="1"/>
  <c r="CV61" i="1"/>
  <c r="CW61" i="1"/>
  <c r="CW62" i="1" s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AD62" i="1"/>
  <c r="AF62" i="1"/>
  <c r="AH62" i="1"/>
  <c r="AJ62" i="1"/>
  <c r="AL62" i="1"/>
  <c r="AN62" i="1"/>
  <c r="AP62" i="1"/>
  <c r="AR62" i="1"/>
  <c r="AT62" i="1"/>
  <c r="AV62" i="1"/>
  <c r="AX62" i="1"/>
  <c r="AZ62" i="1"/>
  <c r="BB62" i="1"/>
  <c r="BD62" i="1"/>
  <c r="BF62" i="1"/>
  <c r="BH62" i="1"/>
  <c r="BJ62" i="1"/>
  <c r="BL62" i="1"/>
  <c r="BN62" i="1"/>
  <c r="BP62" i="1"/>
  <c r="BR62" i="1"/>
  <c r="BT62" i="1"/>
  <c r="BV62" i="1"/>
  <c r="BX62" i="1"/>
  <c r="BZ62" i="1"/>
  <c r="CB62" i="1"/>
  <c r="CD62" i="1"/>
  <c r="CF62" i="1"/>
  <c r="CH62" i="1"/>
  <c r="CJ62" i="1"/>
  <c r="CL62" i="1"/>
  <c r="CN62" i="1"/>
  <c r="CP62" i="1"/>
  <c r="CR62" i="1"/>
  <c r="CT62" i="1"/>
  <c r="CV62" i="1"/>
  <c r="B62" i="1"/>
  <c r="B61" i="1"/>
  <c r="B60" i="1"/>
  <c r="CI4" i="6"/>
  <c r="CI7" i="6"/>
  <c r="CH4" i="6"/>
  <c r="CH7" i="6"/>
  <c r="CG4" i="6"/>
  <c r="CG7" i="6"/>
  <c r="CF4" i="6"/>
  <c r="CF7" i="6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B43" i="1"/>
  <c r="B42" i="1"/>
  <c r="B41" i="1"/>
  <c r="R107" i="3"/>
  <c r="R117" i="3"/>
  <c r="R116" i="3"/>
  <c r="R115" i="3"/>
  <c r="Y114" i="3"/>
  <c r="U114" i="3"/>
  <c r="R114" i="3"/>
  <c r="V112" i="3"/>
  <c r="R112" i="3"/>
  <c r="V111" i="3"/>
  <c r="R111" i="3"/>
  <c r="V110" i="3"/>
  <c r="R110" i="3"/>
  <c r="V109" i="3"/>
  <c r="R109" i="3"/>
  <c r="R106" i="3"/>
  <c r="R105" i="3"/>
  <c r="S122" i="3" l="1"/>
  <c r="CF5" i="6"/>
  <c r="CF6" i="6" s="1"/>
  <c r="CF45" i="6" s="1"/>
  <c r="CH5" i="6"/>
  <c r="CH6" i="6" s="1"/>
  <c r="CH45" i="6" s="1"/>
  <c r="CG5" i="6"/>
  <c r="CG6" i="6" s="1"/>
  <c r="CG45" i="6" s="1"/>
  <c r="CI5" i="6"/>
  <c r="CI8" i="6" s="1"/>
  <c r="CI46" i="6" s="1"/>
  <c r="U91" i="3"/>
  <c r="C8" i="3"/>
  <c r="C7" i="3"/>
  <c r="Y91" i="3" s="1"/>
  <c r="R94" i="3"/>
  <c r="R93" i="3"/>
  <c r="V89" i="3"/>
  <c r="V88" i="3"/>
  <c r="R84" i="3"/>
  <c r="R89" i="3"/>
  <c r="CE4" i="6"/>
  <c r="CE7" i="6"/>
  <c r="CD4" i="6"/>
  <c r="CD7" i="6"/>
  <c r="C103" i="3"/>
  <c r="C5" i="3"/>
  <c r="R83" i="3"/>
  <c r="R82" i="3"/>
  <c r="R81" i="3"/>
  <c r="V87" i="3"/>
  <c r="V86" i="3"/>
  <c r="R92" i="3"/>
  <c r="T128" i="3" l="1"/>
  <c r="T124" i="3"/>
  <c r="T126" i="3"/>
  <c r="T122" i="3"/>
  <c r="Z116" i="3"/>
  <c r="Z114" i="3"/>
  <c r="Z117" i="3"/>
  <c r="Z115" i="3"/>
  <c r="V94" i="3"/>
  <c r="V115" i="3"/>
  <c r="V114" i="3"/>
  <c r="V116" i="3"/>
  <c r="V117" i="3"/>
  <c r="CG8" i="6"/>
  <c r="CG9" i="6" s="1"/>
  <c r="CH8" i="6"/>
  <c r="CH46" i="6" s="1"/>
  <c r="CF8" i="6"/>
  <c r="CF46" i="6" s="1"/>
  <c r="CI6" i="6"/>
  <c r="CI45" i="6" s="1"/>
  <c r="CI9" i="6"/>
  <c r="CI47" i="6" s="1"/>
  <c r="CD5" i="6"/>
  <c r="CD6" i="6" s="1"/>
  <c r="CD45" i="6" s="1"/>
  <c r="Z93" i="3"/>
  <c r="Z94" i="3"/>
  <c r="Z91" i="3"/>
  <c r="Z92" i="3"/>
  <c r="V91" i="3"/>
  <c r="V92" i="3"/>
  <c r="V93" i="3"/>
  <c r="CE5" i="6"/>
  <c r="CE6" i="6" s="1"/>
  <c r="CE45" i="6" s="1"/>
  <c r="C105" i="3"/>
  <c r="F3" i="5" s="1"/>
  <c r="R91" i="3"/>
  <c r="R86" i="3"/>
  <c r="CC4" i="6"/>
  <c r="CC7" i="6"/>
  <c r="D77" i="3"/>
  <c r="CB4" i="6"/>
  <c r="CB7" i="6"/>
  <c r="CA4" i="6"/>
  <c r="CA5" i="6" s="1"/>
  <c r="CA7" i="6"/>
  <c r="K97" i="3"/>
  <c r="BZ4" i="6"/>
  <c r="BZ7" i="6"/>
  <c r="J97" i="3"/>
  <c r="J99" i="3" s="1"/>
  <c r="BY4" i="6"/>
  <c r="BY7" i="6"/>
  <c r="I97" i="3"/>
  <c r="BX4" i="6"/>
  <c r="BX7" i="6"/>
  <c r="H97" i="3"/>
  <c r="BW4" i="6"/>
  <c r="BW5" i="6" s="1"/>
  <c r="BW7" i="6"/>
  <c r="G97" i="3"/>
  <c r="BV4" i="6"/>
  <c r="BV7" i="6"/>
  <c r="F97" i="3"/>
  <c r="F99" i="3" s="1"/>
  <c r="BU4" i="6"/>
  <c r="BU7" i="6"/>
  <c r="AL97" i="3"/>
  <c r="BT4" i="6"/>
  <c r="BT7" i="6"/>
  <c r="AK97" i="3"/>
  <c r="BS4" i="6"/>
  <c r="BS5" i="6" s="1"/>
  <c r="BS7" i="6"/>
  <c r="AJ97" i="3"/>
  <c r="BR4" i="6"/>
  <c r="BR7" i="6"/>
  <c r="AI97" i="3"/>
  <c r="AI99" i="3" s="1"/>
  <c r="BQ4" i="6"/>
  <c r="BQ7" i="6"/>
  <c r="AH97" i="3"/>
  <c r="BP4" i="6"/>
  <c r="BP7" i="6"/>
  <c r="AG97" i="3"/>
  <c r="BO4" i="6"/>
  <c r="BO5" i="6" s="1"/>
  <c r="BO7" i="6"/>
  <c r="AF97" i="3"/>
  <c r="BN4" i="6"/>
  <c r="BN7" i="6"/>
  <c r="E97" i="3"/>
  <c r="E99" i="3" s="1"/>
  <c r="BM4" i="6"/>
  <c r="BM7" i="6"/>
  <c r="AE97" i="3"/>
  <c r="BL4" i="6"/>
  <c r="BL7" i="6"/>
  <c r="AD97" i="3"/>
  <c r="BK4" i="6"/>
  <c r="BK5" i="6" s="1"/>
  <c r="BK7" i="6"/>
  <c r="AC97" i="3"/>
  <c r="BJ4" i="6"/>
  <c r="BJ7" i="6"/>
  <c r="AB97" i="3"/>
  <c r="AB99" i="3" s="1"/>
  <c r="BI4" i="6"/>
  <c r="BI7" i="6"/>
  <c r="AA97" i="3"/>
  <c r="BH4" i="6"/>
  <c r="BH7" i="6"/>
  <c r="Z97" i="3"/>
  <c r="BG4" i="6"/>
  <c r="BG5" i="6" s="1"/>
  <c r="BG6" i="6" s="1"/>
  <c r="BG45" i="6" s="1"/>
  <c r="BG7" i="6"/>
  <c r="Y97" i="3"/>
  <c r="BF4" i="6"/>
  <c r="BF7" i="6"/>
  <c r="X97" i="3"/>
  <c r="X99" i="3" s="1"/>
  <c r="BE4" i="6"/>
  <c r="BE7" i="6"/>
  <c r="W97" i="3"/>
  <c r="BD4" i="6"/>
  <c r="BD7" i="6"/>
  <c r="V97" i="3"/>
  <c r="BC4" i="6"/>
  <c r="BC5" i="6" s="1"/>
  <c r="BC7" i="6"/>
  <c r="D97" i="3"/>
  <c r="BB4" i="6"/>
  <c r="BB7" i="6"/>
  <c r="U97" i="3"/>
  <c r="U99" i="3" s="1"/>
  <c r="BA4" i="6"/>
  <c r="BA7" i="6"/>
  <c r="T97" i="3"/>
  <c r="AZ4" i="6"/>
  <c r="AZ7" i="6"/>
  <c r="S97" i="3"/>
  <c r="AY4" i="6"/>
  <c r="AY5" i="6" s="1"/>
  <c r="AY7" i="6"/>
  <c r="R97" i="3"/>
  <c r="AX4" i="6"/>
  <c r="AX7" i="6"/>
  <c r="Q97" i="3"/>
  <c r="Q99" i="3" s="1"/>
  <c r="AW4" i="6"/>
  <c r="AW7" i="6"/>
  <c r="P97" i="3"/>
  <c r="AV4" i="6"/>
  <c r="AV7" i="6"/>
  <c r="O97" i="3"/>
  <c r="AU4" i="6"/>
  <c r="AU5" i="6" s="1"/>
  <c r="AU6" i="6" s="1"/>
  <c r="AU45" i="6" s="1"/>
  <c r="AU7" i="6"/>
  <c r="N97" i="3"/>
  <c r="AT4" i="6"/>
  <c r="AT7" i="6"/>
  <c r="M97" i="3"/>
  <c r="M99" i="3" s="1"/>
  <c r="AS4" i="6"/>
  <c r="AS7" i="6"/>
  <c r="L97" i="3"/>
  <c r="AR4" i="6"/>
  <c r="AR7" i="6"/>
  <c r="C97" i="3"/>
  <c r="R88" i="3"/>
  <c r="R87" i="3"/>
  <c r="AQ4" i="6"/>
  <c r="AQ7" i="6"/>
  <c r="AP4" i="6"/>
  <c r="AP7" i="6"/>
  <c r="AO4" i="6"/>
  <c r="AO7" i="6"/>
  <c r="AC4" i="6"/>
  <c r="AC7" i="6"/>
  <c r="C91" i="3"/>
  <c r="AB4" i="6"/>
  <c r="AB7" i="6"/>
  <c r="AA4" i="6"/>
  <c r="AA7" i="6"/>
  <c r="Z4" i="6"/>
  <c r="Z7" i="6"/>
  <c r="Y4" i="6"/>
  <c r="Y7" i="6"/>
  <c r="X4" i="6"/>
  <c r="X7" i="6"/>
  <c r="W4" i="6"/>
  <c r="W7" i="6"/>
  <c r="V4" i="6"/>
  <c r="V7" i="6"/>
  <c r="U4" i="6"/>
  <c r="U7" i="6"/>
  <c r="T4" i="6"/>
  <c r="T7" i="6"/>
  <c r="S4" i="6"/>
  <c r="S7" i="6"/>
  <c r="R4" i="6"/>
  <c r="R7" i="6"/>
  <c r="Q4" i="6"/>
  <c r="Q7" i="6"/>
  <c r="P4" i="6"/>
  <c r="P7" i="6"/>
  <c r="O4" i="6"/>
  <c r="O7" i="6"/>
  <c r="N4" i="6"/>
  <c r="N7" i="6"/>
  <c r="M4" i="6"/>
  <c r="M7" i="6"/>
  <c r="K83" i="3"/>
  <c r="L4" i="6"/>
  <c r="L7" i="6"/>
  <c r="J83" i="3"/>
  <c r="K4" i="6"/>
  <c r="K5" i="6" s="1"/>
  <c r="K6" i="6" s="1"/>
  <c r="K45" i="6" s="1"/>
  <c r="K7" i="6"/>
  <c r="I83" i="3"/>
  <c r="J4" i="6"/>
  <c r="J7" i="6"/>
  <c r="H83" i="3"/>
  <c r="I4" i="6"/>
  <c r="I7" i="6"/>
  <c r="G83" i="3"/>
  <c r="F83" i="3"/>
  <c r="G4" i="6"/>
  <c r="G7" i="6"/>
  <c r="E83" i="3"/>
  <c r="F4" i="6"/>
  <c r="F7" i="6"/>
  <c r="D83" i="3"/>
  <c r="E4" i="6"/>
  <c r="E5" i="6" s="1"/>
  <c r="E6" i="6" s="1"/>
  <c r="E45" i="6" s="1"/>
  <c r="E7" i="6"/>
  <c r="N83" i="3"/>
  <c r="D4" i="6"/>
  <c r="D7" i="6"/>
  <c r="M83" i="3"/>
  <c r="C4" i="6"/>
  <c r="C7" i="6"/>
  <c r="L83" i="3"/>
  <c r="B4" i="6"/>
  <c r="B7" i="6"/>
  <c r="C83" i="3"/>
  <c r="D76" i="3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7" i="1"/>
  <c r="CX48" i="1"/>
  <c r="CX49" i="1"/>
  <c r="CX51" i="1"/>
  <c r="CX52" i="1"/>
  <c r="CX53" i="1"/>
  <c r="CX54" i="1"/>
  <c r="CX55" i="1"/>
  <c r="CX56" i="1"/>
  <c r="CX57" i="1"/>
  <c r="CX58" i="1"/>
  <c r="CX65" i="1"/>
  <c r="CX4" i="1"/>
  <c r="CH9" i="6" l="1"/>
  <c r="C5" i="6"/>
  <c r="C6" i="6" s="1"/>
  <c r="C45" i="6" s="1"/>
  <c r="G5" i="6"/>
  <c r="G6" i="6" s="1"/>
  <c r="G45" i="6" s="1"/>
  <c r="I5" i="6"/>
  <c r="I6" i="6" s="1"/>
  <c r="I45" i="6" s="1"/>
  <c r="M5" i="6"/>
  <c r="M6" i="6" s="1"/>
  <c r="M45" i="6" s="1"/>
  <c r="AS5" i="6"/>
  <c r="AW5" i="6"/>
  <c r="AW6" i="6" s="1"/>
  <c r="AW45" i="6" s="1"/>
  <c r="BA5" i="6"/>
  <c r="BE5" i="6"/>
  <c r="BE6" i="6" s="1"/>
  <c r="BE45" i="6" s="1"/>
  <c r="BI5" i="6"/>
  <c r="BM5" i="6"/>
  <c r="BM6" i="6" s="1"/>
  <c r="BM45" i="6" s="1"/>
  <c r="BQ5" i="6"/>
  <c r="BU5" i="6"/>
  <c r="BU6" i="6" s="1"/>
  <c r="BU45" i="6" s="1"/>
  <c r="BY5" i="6"/>
  <c r="CX42" i="1"/>
  <c r="CX41" i="1"/>
  <c r="CG46" i="6"/>
  <c r="CF9" i="6"/>
  <c r="CF10" i="6" s="1"/>
  <c r="CF48" i="6" s="1"/>
  <c r="CI10" i="6"/>
  <c r="CI48" i="6" s="1"/>
  <c r="CH10" i="6"/>
  <c r="CH48" i="6" s="1"/>
  <c r="CH47" i="6"/>
  <c r="CG10" i="6"/>
  <c r="CG48" i="6" s="1"/>
  <c r="CG47" i="6"/>
  <c r="L5" i="6"/>
  <c r="L6" i="6" s="1"/>
  <c r="L45" i="6" s="1"/>
  <c r="AC5" i="6"/>
  <c r="AC6" i="6" s="1"/>
  <c r="AC45" i="6" s="1"/>
  <c r="AR5" i="6"/>
  <c r="AV5" i="6"/>
  <c r="AV6" i="6" s="1"/>
  <c r="AV45" i="6" s="1"/>
  <c r="AZ5" i="6"/>
  <c r="AZ6" i="6" s="1"/>
  <c r="AZ45" i="6" s="1"/>
  <c r="BD5" i="6"/>
  <c r="BD8" i="6" s="1"/>
  <c r="BH5" i="6"/>
  <c r="BL5" i="6"/>
  <c r="BL8" i="6" s="1"/>
  <c r="BL46" i="6" s="1"/>
  <c r="BP5" i="6"/>
  <c r="BP6" i="6" s="1"/>
  <c r="BP45" i="6" s="1"/>
  <c r="BT5" i="6"/>
  <c r="BT8" i="6" s="1"/>
  <c r="BT46" i="6" s="1"/>
  <c r="BX5" i="6"/>
  <c r="D5" i="6"/>
  <c r="D6" i="6" s="1"/>
  <c r="D45" i="6" s="1"/>
  <c r="J5" i="6"/>
  <c r="J6" i="6" s="1"/>
  <c r="J45" i="6" s="1"/>
  <c r="AX5" i="6"/>
  <c r="AX8" i="6" s="1"/>
  <c r="BB5" i="6"/>
  <c r="BB6" i="6" s="1"/>
  <c r="BB45" i="6" s="1"/>
  <c r="BF5" i="6"/>
  <c r="BF6" i="6" s="1"/>
  <c r="BF45" i="6" s="1"/>
  <c r="BJ5" i="6"/>
  <c r="BN5" i="6"/>
  <c r="BN8" i="6" s="1"/>
  <c r="BN46" i="6" s="1"/>
  <c r="BR5" i="6"/>
  <c r="BR6" i="6" s="1"/>
  <c r="BR45" i="6" s="1"/>
  <c r="BV5" i="6"/>
  <c r="BV6" i="6" s="1"/>
  <c r="BV45" i="6" s="1"/>
  <c r="BZ5" i="6"/>
  <c r="CD8" i="6"/>
  <c r="CD46" i="6" s="1"/>
  <c r="L8" i="6"/>
  <c r="B5" i="6"/>
  <c r="B6" i="6" s="1"/>
  <c r="B45" i="6" s="1"/>
  <c r="F5" i="6"/>
  <c r="F6" i="6" s="1"/>
  <c r="F45" i="6" s="1"/>
  <c r="BG8" i="6"/>
  <c r="BG9" i="6" s="1"/>
  <c r="V99" i="3"/>
  <c r="N99" i="3"/>
  <c r="R99" i="3"/>
  <c r="AJ99" i="3"/>
  <c r="CE8" i="6"/>
  <c r="CE9" i="6" s="1"/>
  <c r="L99" i="3"/>
  <c r="C99" i="3"/>
  <c r="O99" i="3"/>
  <c r="S99" i="3"/>
  <c r="Z99" i="3"/>
  <c r="AD99" i="3"/>
  <c r="AG99" i="3"/>
  <c r="AK99" i="3"/>
  <c r="H99" i="3"/>
  <c r="P99" i="3"/>
  <c r="T99" i="3"/>
  <c r="W99" i="3"/>
  <c r="AA99" i="3"/>
  <c r="AE99" i="3"/>
  <c r="AH99" i="3"/>
  <c r="AL99" i="3"/>
  <c r="I99" i="3"/>
  <c r="C93" i="3"/>
  <c r="D99" i="3"/>
  <c r="Y99" i="3"/>
  <c r="AC99" i="3"/>
  <c r="AF99" i="3"/>
  <c r="G99" i="3"/>
  <c r="AT5" i="6"/>
  <c r="AT6" i="6" s="1"/>
  <c r="AT45" i="6" s="1"/>
  <c r="CC5" i="6"/>
  <c r="CC8" i="6" s="1"/>
  <c r="K99" i="3"/>
  <c r="CB5" i="6"/>
  <c r="CB8" i="6" s="1"/>
  <c r="CA8" i="6"/>
  <c r="CA46" i="6" s="1"/>
  <c r="CA6" i="6"/>
  <c r="CA45" i="6" s="1"/>
  <c r="BZ8" i="6"/>
  <c r="BZ6" i="6"/>
  <c r="BZ45" i="6" s="1"/>
  <c r="BY8" i="6"/>
  <c r="BY46" i="6" s="1"/>
  <c r="BY6" i="6"/>
  <c r="BY45" i="6" s="1"/>
  <c r="BX8" i="6"/>
  <c r="BX46" i="6" s="1"/>
  <c r="BX6" i="6"/>
  <c r="BX45" i="6" s="1"/>
  <c r="BW8" i="6"/>
  <c r="BW46" i="6" s="1"/>
  <c r="BW6" i="6"/>
  <c r="BW45" i="6" s="1"/>
  <c r="BU8" i="6"/>
  <c r="BU46" i="6" s="1"/>
  <c r="BS8" i="6"/>
  <c r="BS46" i="6" s="1"/>
  <c r="BS6" i="6"/>
  <c r="BS45" i="6" s="1"/>
  <c r="BQ8" i="6"/>
  <c r="BQ46" i="6" s="1"/>
  <c r="BQ6" i="6"/>
  <c r="BQ45" i="6" s="1"/>
  <c r="BP8" i="6"/>
  <c r="BP46" i="6" s="1"/>
  <c r="BO8" i="6"/>
  <c r="BO46" i="6" s="1"/>
  <c r="BO6" i="6"/>
  <c r="BO45" i="6" s="1"/>
  <c r="BM8" i="6"/>
  <c r="BL6" i="6"/>
  <c r="BL45" i="6" s="1"/>
  <c r="BK8" i="6"/>
  <c r="BK6" i="6"/>
  <c r="BK45" i="6" s="1"/>
  <c r="BJ8" i="6"/>
  <c r="BJ46" i="6"/>
  <c r="BJ6" i="6"/>
  <c r="BJ45" i="6" s="1"/>
  <c r="BI8" i="6"/>
  <c r="BI46" i="6" s="1"/>
  <c r="BI6" i="6"/>
  <c r="BI45" i="6" s="1"/>
  <c r="BH8" i="6"/>
  <c r="BH6" i="6"/>
  <c r="BH45" i="6" s="1"/>
  <c r="BE8" i="6"/>
  <c r="BC8" i="6"/>
  <c r="BC46" i="6" s="1"/>
  <c r="BC6" i="6"/>
  <c r="BC45" i="6" s="1"/>
  <c r="BA8" i="6"/>
  <c r="BA6" i="6"/>
  <c r="BA45" i="6" s="1"/>
  <c r="AY8" i="6"/>
  <c r="AY6" i="6"/>
  <c r="AY45" i="6" s="1"/>
  <c r="AW8" i="6"/>
  <c r="AV8" i="6"/>
  <c r="AV46" i="6" s="1"/>
  <c r="AU8" i="6"/>
  <c r="AS8" i="6"/>
  <c r="AS46" i="6" s="1"/>
  <c r="AS6" i="6"/>
  <c r="AS45" i="6" s="1"/>
  <c r="AR8" i="6"/>
  <c r="AR46" i="6" s="1"/>
  <c r="AR6" i="6"/>
  <c r="AR45" i="6" s="1"/>
  <c r="AQ5" i="6"/>
  <c r="AQ6" i="6" s="1"/>
  <c r="AQ45" i="6" s="1"/>
  <c r="AP5" i="6"/>
  <c r="AP6" i="6" s="1"/>
  <c r="AP45" i="6" s="1"/>
  <c r="AO5" i="6"/>
  <c r="AO6" i="6" s="1"/>
  <c r="AO45" i="6" s="1"/>
  <c r="AB5" i="6"/>
  <c r="AB6" i="6" s="1"/>
  <c r="AB45" i="6" s="1"/>
  <c r="AA5" i="6"/>
  <c r="AA8" i="6" s="1"/>
  <c r="AA76" i="6" s="1"/>
  <c r="Z5" i="6"/>
  <c r="Z8" i="6" s="1"/>
  <c r="Z46" i="6" s="1"/>
  <c r="N85" i="3"/>
  <c r="N5" i="6"/>
  <c r="N6" i="6" s="1"/>
  <c r="N45" i="6" s="1"/>
  <c r="W8" i="6"/>
  <c r="W9" i="6" s="1"/>
  <c r="W10" i="6" s="1"/>
  <c r="W48" i="6" s="1"/>
  <c r="X5" i="6"/>
  <c r="X8" i="6" s="1"/>
  <c r="T5" i="6"/>
  <c r="W5" i="6"/>
  <c r="W6" i="6" s="1"/>
  <c r="W45" i="6" s="1"/>
  <c r="N8" i="6"/>
  <c r="N46" i="6" s="1"/>
  <c r="Q5" i="6"/>
  <c r="Q8" i="6" s="1"/>
  <c r="P5" i="6"/>
  <c r="P8" i="6" s="1"/>
  <c r="O5" i="6"/>
  <c r="V5" i="6"/>
  <c r="V8" i="6" s="1"/>
  <c r="R5" i="6"/>
  <c r="R6" i="6" s="1"/>
  <c r="R45" i="6" s="1"/>
  <c r="S5" i="6"/>
  <c r="S8" i="6" s="1"/>
  <c r="S46" i="6" s="1"/>
  <c r="U5" i="6"/>
  <c r="U6" i="6" s="1"/>
  <c r="U45" i="6" s="1"/>
  <c r="Y5" i="6"/>
  <c r="Y8" i="6" s="1"/>
  <c r="Y46" i="6" s="1"/>
  <c r="L46" i="6"/>
  <c r="K8" i="6"/>
  <c r="I8" i="6"/>
  <c r="I46" i="6" s="1"/>
  <c r="E8" i="6"/>
  <c r="C8" i="6"/>
  <c r="J81" i="3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66" i="1"/>
  <c r="D66" i="1"/>
  <c r="D77" i="1" s="1"/>
  <c r="E66" i="1"/>
  <c r="F66" i="1"/>
  <c r="G66" i="1"/>
  <c r="H66" i="1"/>
  <c r="H77" i="1" s="1"/>
  <c r="I66" i="1"/>
  <c r="J66" i="1"/>
  <c r="K66" i="1"/>
  <c r="L66" i="1"/>
  <c r="L77" i="1" s="1"/>
  <c r="M66" i="1"/>
  <c r="N66" i="1"/>
  <c r="O66" i="1"/>
  <c r="P66" i="1"/>
  <c r="P77" i="1" s="1"/>
  <c r="Q66" i="1"/>
  <c r="R66" i="1"/>
  <c r="S66" i="1"/>
  <c r="T66" i="1"/>
  <c r="T77" i="1" s="1"/>
  <c r="U66" i="1"/>
  <c r="V66" i="1"/>
  <c r="W66" i="1"/>
  <c r="X66" i="1"/>
  <c r="X77" i="1" s="1"/>
  <c r="Y66" i="1"/>
  <c r="Z66" i="1"/>
  <c r="AA66" i="1"/>
  <c r="AB66" i="1"/>
  <c r="AB77" i="1" s="1"/>
  <c r="AC66" i="1"/>
  <c r="AD66" i="1"/>
  <c r="AE66" i="1"/>
  <c r="AF66" i="1"/>
  <c r="AF77" i="1" s="1"/>
  <c r="AG66" i="1"/>
  <c r="AH66" i="1"/>
  <c r="AI66" i="1"/>
  <c r="AJ66" i="1"/>
  <c r="AJ77" i="1" s="1"/>
  <c r="AK66" i="1"/>
  <c r="AL66" i="1"/>
  <c r="AM66" i="1"/>
  <c r="AN66" i="1"/>
  <c r="AN77" i="1" s="1"/>
  <c r="AO66" i="1"/>
  <c r="AP66" i="1"/>
  <c r="AQ66" i="1"/>
  <c r="AR66" i="1"/>
  <c r="AR77" i="1" s="1"/>
  <c r="AS66" i="1"/>
  <c r="AT66" i="1"/>
  <c r="AU66" i="1"/>
  <c r="AV66" i="1"/>
  <c r="AV77" i="1" s="1"/>
  <c r="AW66" i="1"/>
  <c r="AX66" i="1"/>
  <c r="AY66" i="1"/>
  <c r="AZ66" i="1"/>
  <c r="AZ77" i="1" s="1"/>
  <c r="BA66" i="1"/>
  <c r="BB66" i="1"/>
  <c r="BC66" i="1"/>
  <c r="BD66" i="1"/>
  <c r="BD77" i="1" s="1"/>
  <c r="BE66" i="1"/>
  <c r="BF66" i="1"/>
  <c r="BG66" i="1"/>
  <c r="BH66" i="1"/>
  <c r="BH77" i="1" s="1"/>
  <c r="BI66" i="1"/>
  <c r="BJ66" i="1"/>
  <c r="BK66" i="1"/>
  <c r="BL66" i="1"/>
  <c r="BL77" i="1" s="1"/>
  <c r="BM66" i="1"/>
  <c r="BN66" i="1"/>
  <c r="BO66" i="1"/>
  <c r="BP66" i="1"/>
  <c r="BP77" i="1" s="1"/>
  <c r="BQ66" i="1"/>
  <c r="BR66" i="1"/>
  <c r="BS66" i="1"/>
  <c r="BT66" i="1"/>
  <c r="BT77" i="1" s="1"/>
  <c r="BU66" i="1"/>
  <c r="BV66" i="1"/>
  <c r="BW66" i="1"/>
  <c r="BX66" i="1"/>
  <c r="BX77" i="1" s="1"/>
  <c r="BY66" i="1"/>
  <c r="BZ66" i="1"/>
  <c r="CA66" i="1"/>
  <c r="CB66" i="1"/>
  <c r="CB77" i="1" s="1"/>
  <c r="CC66" i="1"/>
  <c r="CD66" i="1"/>
  <c r="CE66" i="1"/>
  <c r="CF66" i="1"/>
  <c r="CF77" i="1" s="1"/>
  <c r="CG66" i="1"/>
  <c r="CH66" i="1"/>
  <c r="CI66" i="1"/>
  <c r="CJ66" i="1"/>
  <c r="CJ77" i="1" s="1"/>
  <c r="CK66" i="1"/>
  <c r="CL66" i="1"/>
  <c r="CM66" i="1"/>
  <c r="CN66" i="1"/>
  <c r="CN77" i="1" s="1"/>
  <c r="CO66" i="1"/>
  <c r="CP66" i="1"/>
  <c r="CQ66" i="1"/>
  <c r="CR66" i="1"/>
  <c r="CR77" i="1" s="1"/>
  <c r="CS66" i="1"/>
  <c r="CT66" i="1"/>
  <c r="CU66" i="1"/>
  <c r="CV66" i="1"/>
  <c r="CV77" i="1" s="1"/>
  <c r="CW66" i="1"/>
  <c r="C67" i="1"/>
  <c r="D67" i="1"/>
  <c r="E67" i="1"/>
  <c r="E77" i="1" s="1"/>
  <c r="F67" i="1"/>
  <c r="G67" i="1"/>
  <c r="H67" i="1"/>
  <c r="I67" i="1"/>
  <c r="I77" i="1" s="1"/>
  <c r="J67" i="1"/>
  <c r="K67" i="1"/>
  <c r="L67" i="1"/>
  <c r="M67" i="1"/>
  <c r="M77" i="1" s="1"/>
  <c r="N67" i="1"/>
  <c r="O67" i="1"/>
  <c r="P67" i="1"/>
  <c r="Q67" i="1"/>
  <c r="Q77" i="1" s="1"/>
  <c r="R67" i="1"/>
  <c r="S67" i="1"/>
  <c r="T67" i="1"/>
  <c r="U67" i="1"/>
  <c r="U77" i="1" s="1"/>
  <c r="V67" i="1"/>
  <c r="W67" i="1"/>
  <c r="X67" i="1"/>
  <c r="Y67" i="1"/>
  <c r="Y77" i="1" s="1"/>
  <c r="Z67" i="1"/>
  <c r="AA67" i="1"/>
  <c r="AB67" i="1"/>
  <c r="AC67" i="1"/>
  <c r="AC77" i="1" s="1"/>
  <c r="AD67" i="1"/>
  <c r="AE67" i="1"/>
  <c r="AF67" i="1"/>
  <c r="AG67" i="1"/>
  <c r="AG77" i="1" s="1"/>
  <c r="AH67" i="1"/>
  <c r="AI67" i="1"/>
  <c r="AJ67" i="1"/>
  <c r="AK67" i="1"/>
  <c r="AK77" i="1" s="1"/>
  <c r="AL67" i="1"/>
  <c r="AM67" i="1"/>
  <c r="AN67" i="1"/>
  <c r="AO67" i="1"/>
  <c r="AO77" i="1" s="1"/>
  <c r="AP67" i="1"/>
  <c r="AQ67" i="1"/>
  <c r="AR67" i="1"/>
  <c r="AS67" i="1"/>
  <c r="AS77" i="1" s="1"/>
  <c r="AT67" i="1"/>
  <c r="AU67" i="1"/>
  <c r="AV67" i="1"/>
  <c r="AW67" i="1"/>
  <c r="AW77" i="1" s="1"/>
  <c r="AX67" i="1"/>
  <c r="AY67" i="1"/>
  <c r="AZ67" i="1"/>
  <c r="BA67" i="1"/>
  <c r="BA77" i="1" s="1"/>
  <c r="BB67" i="1"/>
  <c r="BC67" i="1"/>
  <c r="BD67" i="1"/>
  <c r="BE67" i="1"/>
  <c r="BE77" i="1" s="1"/>
  <c r="BF67" i="1"/>
  <c r="BG67" i="1"/>
  <c r="BH67" i="1"/>
  <c r="BI67" i="1"/>
  <c r="BI77" i="1" s="1"/>
  <c r="BJ67" i="1"/>
  <c r="BK67" i="1"/>
  <c r="BL67" i="1"/>
  <c r="BM67" i="1"/>
  <c r="BM77" i="1" s="1"/>
  <c r="BN67" i="1"/>
  <c r="BO67" i="1"/>
  <c r="BP67" i="1"/>
  <c r="BQ67" i="1"/>
  <c r="BQ77" i="1" s="1"/>
  <c r="BR67" i="1"/>
  <c r="BS67" i="1"/>
  <c r="BT67" i="1"/>
  <c r="BU67" i="1"/>
  <c r="BU77" i="1" s="1"/>
  <c r="BV67" i="1"/>
  <c r="BW67" i="1"/>
  <c r="BX67" i="1"/>
  <c r="BY67" i="1"/>
  <c r="BY77" i="1" s="1"/>
  <c r="BZ67" i="1"/>
  <c r="CA67" i="1"/>
  <c r="CB67" i="1"/>
  <c r="CC67" i="1"/>
  <c r="CC77" i="1" s="1"/>
  <c r="CD67" i="1"/>
  <c r="CE67" i="1"/>
  <c r="CF67" i="1"/>
  <c r="CG67" i="1"/>
  <c r="CG77" i="1" s="1"/>
  <c r="CH67" i="1"/>
  <c r="CI67" i="1"/>
  <c r="CJ67" i="1"/>
  <c r="CK67" i="1"/>
  <c r="CK77" i="1" s="1"/>
  <c r="CL67" i="1"/>
  <c r="CM67" i="1"/>
  <c r="CN67" i="1"/>
  <c r="CO67" i="1"/>
  <c r="CO77" i="1" s="1"/>
  <c r="CP67" i="1"/>
  <c r="CQ67" i="1"/>
  <c r="CR67" i="1"/>
  <c r="CS67" i="1"/>
  <c r="CS77" i="1" s="1"/>
  <c r="CT67" i="1"/>
  <c r="CU67" i="1"/>
  <c r="CV67" i="1"/>
  <c r="CW67" i="1"/>
  <c r="CW77" i="1" s="1"/>
  <c r="C68" i="1"/>
  <c r="D68" i="1"/>
  <c r="E68" i="1"/>
  <c r="F68" i="1"/>
  <c r="F77" i="1" s="1"/>
  <c r="G68" i="1"/>
  <c r="H68" i="1"/>
  <c r="I68" i="1"/>
  <c r="J68" i="1"/>
  <c r="J77" i="1" s="1"/>
  <c r="K68" i="1"/>
  <c r="L68" i="1"/>
  <c r="M68" i="1"/>
  <c r="N68" i="1"/>
  <c r="N77" i="1" s="1"/>
  <c r="O68" i="1"/>
  <c r="P68" i="1"/>
  <c r="Q68" i="1"/>
  <c r="R68" i="1"/>
  <c r="R77" i="1" s="1"/>
  <c r="S68" i="1"/>
  <c r="T68" i="1"/>
  <c r="U68" i="1"/>
  <c r="V68" i="1"/>
  <c r="V77" i="1" s="1"/>
  <c r="W68" i="1"/>
  <c r="X68" i="1"/>
  <c r="Y68" i="1"/>
  <c r="Z68" i="1"/>
  <c r="Z77" i="1" s="1"/>
  <c r="AA68" i="1"/>
  <c r="AB68" i="1"/>
  <c r="AC68" i="1"/>
  <c r="AD68" i="1"/>
  <c r="AD77" i="1" s="1"/>
  <c r="AE68" i="1"/>
  <c r="AF68" i="1"/>
  <c r="AG68" i="1"/>
  <c r="AH68" i="1"/>
  <c r="AH77" i="1" s="1"/>
  <c r="AI68" i="1"/>
  <c r="AJ68" i="1"/>
  <c r="AK68" i="1"/>
  <c r="AL68" i="1"/>
  <c r="AL77" i="1" s="1"/>
  <c r="AM68" i="1"/>
  <c r="AN68" i="1"/>
  <c r="AO68" i="1"/>
  <c r="AP68" i="1"/>
  <c r="AP77" i="1" s="1"/>
  <c r="AQ68" i="1"/>
  <c r="AR68" i="1"/>
  <c r="AS68" i="1"/>
  <c r="AT68" i="1"/>
  <c r="AT77" i="1" s="1"/>
  <c r="AU68" i="1"/>
  <c r="AV68" i="1"/>
  <c r="AW68" i="1"/>
  <c r="AX68" i="1"/>
  <c r="AX77" i="1" s="1"/>
  <c r="AY68" i="1"/>
  <c r="AZ68" i="1"/>
  <c r="BA68" i="1"/>
  <c r="BB68" i="1"/>
  <c r="BB77" i="1" s="1"/>
  <c r="BC68" i="1"/>
  <c r="BD68" i="1"/>
  <c r="BE68" i="1"/>
  <c r="BF68" i="1"/>
  <c r="BF77" i="1" s="1"/>
  <c r="BG68" i="1"/>
  <c r="BH68" i="1"/>
  <c r="BI68" i="1"/>
  <c r="BJ68" i="1"/>
  <c r="BJ77" i="1" s="1"/>
  <c r="BK68" i="1"/>
  <c r="BL68" i="1"/>
  <c r="BM68" i="1"/>
  <c r="BN68" i="1"/>
  <c r="BN77" i="1" s="1"/>
  <c r="BO68" i="1"/>
  <c r="BP68" i="1"/>
  <c r="BQ68" i="1"/>
  <c r="BR68" i="1"/>
  <c r="BR77" i="1" s="1"/>
  <c r="BS68" i="1"/>
  <c r="BT68" i="1"/>
  <c r="BU68" i="1"/>
  <c r="BV68" i="1"/>
  <c r="BV77" i="1" s="1"/>
  <c r="BW68" i="1"/>
  <c r="BX68" i="1"/>
  <c r="BY68" i="1"/>
  <c r="BZ68" i="1"/>
  <c r="BZ77" i="1" s="1"/>
  <c r="CA68" i="1"/>
  <c r="CB68" i="1"/>
  <c r="CC68" i="1"/>
  <c r="CE68" i="1"/>
  <c r="CF68" i="1"/>
  <c r="CG68" i="1"/>
  <c r="CH68" i="1"/>
  <c r="CH77" i="1" s="1"/>
  <c r="CI68" i="1"/>
  <c r="CJ68" i="1"/>
  <c r="CK68" i="1"/>
  <c r="CL68" i="1"/>
  <c r="CL77" i="1" s="1"/>
  <c r="CM68" i="1"/>
  <c r="CN68" i="1"/>
  <c r="CO68" i="1"/>
  <c r="CP68" i="1"/>
  <c r="CP77" i="1" s="1"/>
  <c r="CQ68" i="1"/>
  <c r="CR68" i="1"/>
  <c r="CS68" i="1"/>
  <c r="CT68" i="1"/>
  <c r="CT77" i="1" s="1"/>
  <c r="CU68" i="1"/>
  <c r="CV68" i="1"/>
  <c r="CW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77" i="1"/>
  <c r="G77" i="1"/>
  <c r="K77" i="1"/>
  <c r="O77" i="1"/>
  <c r="S77" i="1"/>
  <c r="W77" i="1"/>
  <c r="AA77" i="1"/>
  <c r="AE77" i="1"/>
  <c r="AI77" i="1"/>
  <c r="AM77" i="1"/>
  <c r="AQ77" i="1"/>
  <c r="AU77" i="1"/>
  <c r="AY77" i="1"/>
  <c r="BC77" i="1"/>
  <c r="BG77" i="1"/>
  <c r="BK77" i="1"/>
  <c r="BO77" i="1"/>
  <c r="BS77" i="1"/>
  <c r="BW77" i="1"/>
  <c r="CA77" i="1"/>
  <c r="CE77" i="1"/>
  <c r="CI77" i="1"/>
  <c r="CM77" i="1"/>
  <c r="CQ77" i="1"/>
  <c r="CU77" i="1"/>
  <c r="B65" i="1"/>
  <c r="B67" i="1"/>
  <c r="B68" i="1"/>
  <c r="F91" i="3" s="1"/>
  <c r="F93" i="3" s="1"/>
  <c r="B69" i="1"/>
  <c r="G91" i="3" s="1"/>
  <c r="G93" i="3" s="1"/>
  <c r="B70" i="1"/>
  <c r="B71" i="1"/>
  <c r="B72" i="1"/>
  <c r="B73" i="1"/>
  <c r="B74" i="1"/>
  <c r="B75" i="1"/>
  <c r="B76" i="1"/>
  <c r="B66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X40" i="1" s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48" i="1"/>
  <c r="D48" i="1"/>
  <c r="E48" i="1"/>
  <c r="F48" i="1"/>
  <c r="F59" i="1" s="1"/>
  <c r="G48" i="1"/>
  <c r="H48" i="1"/>
  <c r="I48" i="1"/>
  <c r="J48" i="1"/>
  <c r="J59" i="1" s="1"/>
  <c r="K48" i="1"/>
  <c r="L48" i="1"/>
  <c r="M48" i="1"/>
  <c r="N48" i="1"/>
  <c r="N59" i="1" s="1"/>
  <c r="O48" i="1"/>
  <c r="P48" i="1"/>
  <c r="Q48" i="1"/>
  <c r="R48" i="1"/>
  <c r="R59" i="1" s="1"/>
  <c r="S48" i="1"/>
  <c r="T48" i="1"/>
  <c r="U48" i="1"/>
  <c r="V48" i="1"/>
  <c r="V59" i="1" s="1"/>
  <c r="W48" i="1"/>
  <c r="X48" i="1"/>
  <c r="Y48" i="1"/>
  <c r="Z48" i="1"/>
  <c r="Z59" i="1" s="1"/>
  <c r="AA48" i="1"/>
  <c r="AB48" i="1"/>
  <c r="AC48" i="1"/>
  <c r="AD48" i="1"/>
  <c r="AD59" i="1" s="1"/>
  <c r="AE48" i="1"/>
  <c r="AF48" i="1"/>
  <c r="AG48" i="1"/>
  <c r="AH48" i="1"/>
  <c r="AH59" i="1" s="1"/>
  <c r="AI48" i="1"/>
  <c r="AJ48" i="1"/>
  <c r="AK48" i="1"/>
  <c r="AL48" i="1"/>
  <c r="AL59" i="1" s="1"/>
  <c r="AM48" i="1"/>
  <c r="AN48" i="1"/>
  <c r="AO48" i="1"/>
  <c r="AP48" i="1"/>
  <c r="AP59" i="1" s="1"/>
  <c r="AQ48" i="1"/>
  <c r="AR48" i="1"/>
  <c r="AS48" i="1"/>
  <c r="AT48" i="1"/>
  <c r="AT59" i="1" s="1"/>
  <c r="AU48" i="1"/>
  <c r="AV48" i="1"/>
  <c r="AW48" i="1"/>
  <c r="AX48" i="1"/>
  <c r="AX59" i="1" s="1"/>
  <c r="AY48" i="1"/>
  <c r="AZ48" i="1"/>
  <c r="BA48" i="1"/>
  <c r="BB48" i="1"/>
  <c r="BB59" i="1" s="1"/>
  <c r="BC48" i="1"/>
  <c r="BD48" i="1"/>
  <c r="BE48" i="1"/>
  <c r="BF48" i="1"/>
  <c r="BF59" i="1" s="1"/>
  <c r="BG48" i="1"/>
  <c r="BH48" i="1"/>
  <c r="BI48" i="1"/>
  <c r="BJ48" i="1"/>
  <c r="BJ59" i="1" s="1"/>
  <c r="BK48" i="1"/>
  <c r="BL48" i="1"/>
  <c r="BM48" i="1"/>
  <c r="BN48" i="1"/>
  <c r="BN59" i="1" s="1"/>
  <c r="BO48" i="1"/>
  <c r="BP48" i="1"/>
  <c r="BQ48" i="1"/>
  <c r="BR48" i="1"/>
  <c r="BR59" i="1" s="1"/>
  <c r="BS48" i="1"/>
  <c r="BT48" i="1"/>
  <c r="BU48" i="1"/>
  <c r="BV48" i="1"/>
  <c r="BV59" i="1" s="1"/>
  <c r="BW48" i="1"/>
  <c r="BX48" i="1"/>
  <c r="BY48" i="1"/>
  <c r="BZ48" i="1"/>
  <c r="BZ59" i="1" s="1"/>
  <c r="CA48" i="1"/>
  <c r="CB48" i="1"/>
  <c r="CC48" i="1"/>
  <c r="CD48" i="1"/>
  <c r="CD59" i="1" s="1"/>
  <c r="CX59" i="1" s="1"/>
  <c r="CE48" i="1"/>
  <c r="CF48" i="1"/>
  <c r="CG48" i="1"/>
  <c r="CH48" i="1"/>
  <c r="CH59" i="1" s="1"/>
  <c r="CI48" i="1"/>
  <c r="CJ48" i="1"/>
  <c r="CK48" i="1"/>
  <c r="CL48" i="1"/>
  <c r="CL59" i="1" s="1"/>
  <c r="CM48" i="1"/>
  <c r="CN48" i="1"/>
  <c r="CO48" i="1"/>
  <c r="CP48" i="1"/>
  <c r="CP59" i="1" s="1"/>
  <c r="CQ48" i="1"/>
  <c r="CR48" i="1"/>
  <c r="CS48" i="1"/>
  <c r="CT48" i="1"/>
  <c r="CT59" i="1" s="1"/>
  <c r="CU48" i="1"/>
  <c r="CV48" i="1"/>
  <c r="CW48" i="1"/>
  <c r="C49" i="1"/>
  <c r="C59" i="1" s="1"/>
  <c r="D49" i="1"/>
  <c r="E49" i="1"/>
  <c r="F49" i="1"/>
  <c r="G49" i="1"/>
  <c r="G59" i="1" s="1"/>
  <c r="H49" i="1"/>
  <c r="I49" i="1"/>
  <c r="J49" i="1"/>
  <c r="K49" i="1"/>
  <c r="K59" i="1" s="1"/>
  <c r="L49" i="1"/>
  <c r="M49" i="1"/>
  <c r="N49" i="1"/>
  <c r="O49" i="1"/>
  <c r="O59" i="1" s="1"/>
  <c r="P49" i="1"/>
  <c r="Q49" i="1"/>
  <c r="R49" i="1"/>
  <c r="S49" i="1"/>
  <c r="S59" i="1" s="1"/>
  <c r="T49" i="1"/>
  <c r="U49" i="1"/>
  <c r="V49" i="1"/>
  <c r="W49" i="1"/>
  <c r="W59" i="1" s="1"/>
  <c r="X49" i="1"/>
  <c r="Y49" i="1"/>
  <c r="Z49" i="1"/>
  <c r="AA49" i="1"/>
  <c r="AA59" i="1" s="1"/>
  <c r="AB49" i="1"/>
  <c r="AC49" i="1"/>
  <c r="AD49" i="1"/>
  <c r="AE49" i="1"/>
  <c r="AE59" i="1" s="1"/>
  <c r="AF49" i="1"/>
  <c r="AG49" i="1"/>
  <c r="AH49" i="1"/>
  <c r="AI49" i="1"/>
  <c r="AI59" i="1" s="1"/>
  <c r="AJ49" i="1"/>
  <c r="AK49" i="1"/>
  <c r="AL49" i="1"/>
  <c r="AM49" i="1"/>
  <c r="AM59" i="1" s="1"/>
  <c r="AN49" i="1"/>
  <c r="AO49" i="1"/>
  <c r="AP49" i="1"/>
  <c r="AQ49" i="1"/>
  <c r="AQ59" i="1" s="1"/>
  <c r="AR49" i="1"/>
  <c r="AS49" i="1"/>
  <c r="AT49" i="1"/>
  <c r="AU49" i="1"/>
  <c r="AU59" i="1" s="1"/>
  <c r="AV49" i="1"/>
  <c r="AW49" i="1"/>
  <c r="AX49" i="1"/>
  <c r="AY49" i="1"/>
  <c r="AY59" i="1" s="1"/>
  <c r="AZ49" i="1"/>
  <c r="BA49" i="1"/>
  <c r="BB49" i="1"/>
  <c r="BC49" i="1"/>
  <c r="BC59" i="1" s="1"/>
  <c r="BD49" i="1"/>
  <c r="BE49" i="1"/>
  <c r="BF49" i="1"/>
  <c r="BG49" i="1"/>
  <c r="BG59" i="1" s="1"/>
  <c r="BH49" i="1"/>
  <c r="BI49" i="1"/>
  <c r="BJ49" i="1"/>
  <c r="BK49" i="1"/>
  <c r="BK59" i="1" s="1"/>
  <c r="BL49" i="1"/>
  <c r="BM49" i="1"/>
  <c r="BN49" i="1"/>
  <c r="BO49" i="1"/>
  <c r="BO59" i="1" s="1"/>
  <c r="BP49" i="1"/>
  <c r="BQ49" i="1"/>
  <c r="BR49" i="1"/>
  <c r="BS49" i="1"/>
  <c r="BS59" i="1" s="1"/>
  <c r="BT49" i="1"/>
  <c r="BU49" i="1"/>
  <c r="BV49" i="1"/>
  <c r="BW49" i="1"/>
  <c r="BW59" i="1" s="1"/>
  <c r="BX49" i="1"/>
  <c r="BY49" i="1"/>
  <c r="BZ49" i="1"/>
  <c r="CA49" i="1"/>
  <c r="CA59" i="1" s="1"/>
  <c r="CB49" i="1"/>
  <c r="CC49" i="1"/>
  <c r="CD49" i="1"/>
  <c r="CE49" i="1"/>
  <c r="CE59" i="1" s="1"/>
  <c r="CF49" i="1"/>
  <c r="CG49" i="1"/>
  <c r="CH49" i="1"/>
  <c r="CI49" i="1"/>
  <c r="CI59" i="1" s="1"/>
  <c r="CJ49" i="1"/>
  <c r="CK49" i="1"/>
  <c r="CL49" i="1"/>
  <c r="CM49" i="1"/>
  <c r="CM59" i="1" s="1"/>
  <c r="CN49" i="1"/>
  <c r="CO49" i="1"/>
  <c r="CP49" i="1"/>
  <c r="CQ49" i="1"/>
  <c r="CQ59" i="1" s="1"/>
  <c r="CR49" i="1"/>
  <c r="CS49" i="1"/>
  <c r="CT49" i="1"/>
  <c r="CU49" i="1"/>
  <c r="CU59" i="1" s="1"/>
  <c r="CV49" i="1"/>
  <c r="CW49" i="1"/>
  <c r="C50" i="1"/>
  <c r="D50" i="1"/>
  <c r="D59" i="1" s="1"/>
  <c r="E50" i="1"/>
  <c r="F50" i="1"/>
  <c r="G50" i="1"/>
  <c r="H50" i="1"/>
  <c r="H59" i="1" s="1"/>
  <c r="I50" i="1"/>
  <c r="J50" i="1"/>
  <c r="K50" i="1"/>
  <c r="L50" i="1"/>
  <c r="L59" i="1" s="1"/>
  <c r="M50" i="1"/>
  <c r="N50" i="1"/>
  <c r="O50" i="1"/>
  <c r="P50" i="1"/>
  <c r="P59" i="1" s="1"/>
  <c r="Q50" i="1"/>
  <c r="R50" i="1"/>
  <c r="S50" i="1"/>
  <c r="T50" i="1"/>
  <c r="T59" i="1" s="1"/>
  <c r="U50" i="1"/>
  <c r="V50" i="1"/>
  <c r="W50" i="1"/>
  <c r="X50" i="1"/>
  <c r="X59" i="1" s="1"/>
  <c r="Y50" i="1"/>
  <c r="Z50" i="1"/>
  <c r="AA50" i="1"/>
  <c r="AB50" i="1"/>
  <c r="AB59" i="1" s="1"/>
  <c r="AC50" i="1"/>
  <c r="AD50" i="1"/>
  <c r="AE50" i="1"/>
  <c r="AF50" i="1"/>
  <c r="AF59" i="1" s="1"/>
  <c r="AG50" i="1"/>
  <c r="AH50" i="1"/>
  <c r="AI50" i="1"/>
  <c r="AJ50" i="1"/>
  <c r="AJ59" i="1" s="1"/>
  <c r="AK50" i="1"/>
  <c r="AL50" i="1"/>
  <c r="AM50" i="1"/>
  <c r="AN50" i="1"/>
  <c r="AN59" i="1" s="1"/>
  <c r="AO50" i="1"/>
  <c r="AP50" i="1"/>
  <c r="AQ50" i="1"/>
  <c r="AR50" i="1"/>
  <c r="AR59" i="1" s="1"/>
  <c r="AS50" i="1"/>
  <c r="AT50" i="1"/>
  <c r="AU50" i="1"/>
  <c r="AV50" i="1"/>
  <c r="AV59" i="1" s="1"/>
  <c r="AW50" i="1"/>
  <c r="AX50" i="1"/>
  <c r="AY50" i="1"/>
  <c r="AZ50" i="1"/>
  <c r="AZ59" i="1" s="1"/>
  <c r="BA50" i="1"/>
  <c r="BB50" i="1"/>
  <c r="BC50" i="1"/>
  <c r="BD50" i="1"/>
  <c r="BD59" i="1" s="1"/>
  <c r="BE50" i="1"/>
  <c r="BF50" i="1"/>
  <c r="BG50" i="1"/>
  <c r="BH50" i="1"/>
  <c r="BH59" i="1" s="1"/>
  <c r="BI50" i="1"/>
  <c r="BJ50" i="1"/>
  <c r="BK50" i="1"/>
  <c r="BL50" i="1"/>
  <c r="BL59" i="1" s="1"/>
  <c r="BM50" i="1"/>
  <c r="BN50" i="1"/>
  <c r="BO50" i="1"/>
  <c r="BP50" i="1"/>
  <c r="BP59" i="1" s="1"/>
  <c r="BQ50" i="1"/>
  <c r="BR50" i="1"/>
  <c r="BS50" i="1"/>
  <c r="BT50" i="1"/>
  <c r="BT59" i="1" s="1"/>
  <c r="BU50" i="1"/>
  <c r="BV50" i="1"/>
  <c r="BW50" i="1"/>
  <c r="BX50" i="1"/>
  <c r="BX59" i="1" s="1"/>
  <c r="BY50" i="1"/>
  <c r="BZ50" i="1"/>
  <c r="CA50" i="1"/>
  <c r="CB50" i="1"/>
  <c r="CB59" i="1" s="1"/>
  <c r="CC50" i="1"/>
  <c r="CD50" i="1"/>
  <c r="CE50" i="1"/>
  <c r="CF50" i="1"/>
  <c r="CF59" i="1" s="1"/>
  <c r="CG50" i="1"/>
  <c r="CH50" i="1"/>
  <c r="CI50" i="1"/>
  <c r="CJ50" i="1"/>
  <c r="CJ59" i="1" s="1"/>
  <c r="CK50" i="1"/>
  <c r="CL50" i="1"/>
  <c r="CM50" i="1"/>
  <c r="CN50" i="1"/>
  <c r="CN59" i="1" s="1"/>
  <c r="CO50" i="1"/>
  <c r="CP50" i="1"/>
  <c r="CQ50" i="1"/>
  <c r="CR50" i="1"/>
  <c r="CR59" i="1" s="1"/>
  <c r="CS50" i="1"/>
  <c r="CT50" i="1"/>
  <c r="CU50" i="1"/>
  <c r="CV50" i="1"/>
  <c r="CV59" i="1" s="1"/>
  <c r="CW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E59" i="1"/>
  <c r="I59" i="1"/>
  <c r="M59" i="1"/>
  <c r="Q59" i="1"/>
  <c r="U59" i="1"/>
  <c r="Y59" i="1"/>
  <c r="AC59" i="1"/>
  <c r="AG59" i="1"/>
  <c r="AK59" i="1"/>
  <c r="AO59" i="1"/>
  <c r="AS59" i="1"/>
  <c r="AW59" i="1"/>
  <c r="BA59" i="1"/>
  <c r="BE59" i="1"/>
  <c r="BI59" i="1"/>
  <c r="BM59" i="1"/>
  <c r="BQ59" i="1"/>
  <c r="BU59" i="1"/>
  <c r="BY59" i="1"/>
  <c r="CC59" i="1"/>
  <c r="CG59" i="1"/>
  <c r="CK59" i="1"/>
  <c r="CO59" i="1"/>
  <c r="CS59" i="1"/>
  <c r="CW59" i="1"/>
  <c r="B4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AF7" i="6" l="1"/>
  <c r="CX76" i="1"/>
  <c r="N91" i="3"/>
  <c r="N93" i="3" s="1"/>
  <c r="AF4" i="6"/>
  <c r="AF5" i="6" s="1"/>
  <c r="AF6" i="6" s="1"/>
  <c r="AF45" i="6" s="1"/>
  <c r="J91" i="3"/>
  <c r="J93" i="3" s="1"/>
  <c r="CX72" i="1"/>
  <c r="AM4" i="6"/>
  <c r="AM7" i="6"/>
  <c r="M91" i="3"/>
  <c r="M93" i="3" s="1"/>
  <c r="AE4" i="6"/>
  <c r="CX75" i="1"/>
  <c r="AE7" i="6"/>
  <c r="AL7" i="6"/>
  <c r="CX71" i="1"/>
  <c r="AL4" i="6"/>
  <c r="AL5" i="6" s="1"/>
  <c r="I91" i="3"/>
  <c r="I93" i="3" s="1"/>
  <c r="B77" i="1"/>
  <c r="CX67" i="1"/>
  <c r="AH7" i="6"/>
  <c r="E91" i="3"/>
  <c r="E93" i="3" s="1"/>
  <c r="AH4" i="6"/>
  <c r="G8" i="6"/>
  <c r="G9" i="6" s="1"/>
  <c r="M8" i="6"/>
  <c r="M46" i="6" s="1"/>
  <c r="CX43" i="1"/>
  <c r="AD4" i="6"/>
  <c r="CX74" i="1"/>
  <c r="AD7" i="6"/>
  <c r="L91" i="3"/>
  <c r="L93" i="3" s="1"/>
  <c r="AK4" i="6"/>
  <c r="AK7" i="6"/>
  <c r="CX70" i="1"/>
  <c r="H91" i="3"/>
  <c r="H93" i="3" s="1"/>
  <c r="AG4" i="6"/>
  <c r="CX66" i="1"/>
  <c r="AG7" i="6"/>
  <c r="D91" i="3"/>
  <c r="D93" i="3" s="1"/>
  <c r="AN7" i="6"/>
  <c r="CX73" i="1"/>
  <c r="K91" i="3"/>
  <c r="K93" i="3" s="1"/>
  <c r="AN4" i="6"/>
  <c r="AN5" i="6" s="1"/>
  <c r="AN6" i="6" s="1"/>
  <c r="AN45" i="6" s="1"/>
  <c r="CF47" i="6"/>
  <c r="CI11" i="6"/>
  <c r="CH11" i="6"/>
  <c r="CG11" i="6"/>
  <c r="CG49" i="6" s="1"/>
  <c r="CF11" i="6"/>
  <c r="BN6" i="6"/>
  <c r="BN45" i="6" s="1"/>
  <c r="BF8" i="6"/>
  <c r="BF46" i="6" s="1"/>
  <c r="BG46" i="6"/>
  <c r="BV8" i="6"/>
  <c r="BV46" i="6" s="1"/>
  <c r="B8" i="6"/>
  <c r="L9" i="6"/>
  <c r="L47" i="6" s="1"/>
  <c r="BD6" i="6"/>
  <c r="BD45" i="6" s="1"/>
  <c r="BT6" i="6"/>
  <c r="BT45" i="6" s="1"/>
  <c r="AZ8" i="6"/>
  <c r="AZ46" i="6" s="1"/>
  <c r="AC8" i="6"/>
  <c r="AC46" i="6" s="1"/>
  <c r="AX6" i="6"/>
  <c r="AX45" i="6" s="1"/>
  <c r="BR8" i="6"/>
  <c r="BR9" i="6" s="1"/>
  <c r="BR47" i="6" s="1"/>
  <c r="CD9" i="6"/>
  <c r="CD10" i="6" s="1"/>
  <c r="CD48" i="6" s="1"/>
  <c r="J8" i="6"/>
  <c r="BB8" i="6"/>
  <c r="BB46" i="6" s="1"/>
  <c r="AT8" i="6"/>
  <c r="AT46" i="6" s="1"/>
  <c r="D8" i="6"/>
  <c r="F8" i="6"/>
  <c r="CE46" i="6"/>
  <c r="CE47" i="6"/>
  <c r="CE10" i="6"/>
  <c r="CE48" i="6" s="1"/>
  <c r="AM99" i="3"/>
  <c r="E3" i="5" s="1"/>
  <c r="H4" i="6"/>
  <c r="H7" i="6"/>
  <c r="CX50" i="1"/>
  <c r="CD68" i="1"/>
  <c r="CD69" i="1"/>
  <c r="CC6" i="6"/>
  <c r="CC45" i="6" s="1"/>
  <c r="CB6" i="6"/>
  <c r="CB45" i="6" s="1"/>
  <c r="CC9" i="6"/>
  <c r="CC46" i="6"/>
  <c r="CB9" i="6"/>
  <c r="CB46" i="6"/>
  <c r="CA9" i="6"/>
  <c r="CA47" i="6" s="1"/>
  <c r="BZ9" i="6"/>
  <c r="BZ47" i="6" s="1"/>
  <c r="BZ46" i="6"/>
  <c r="BY9" i="6"/>
  <c r="BY47" i="6" s="1"/>
  <c r="BX9" i="6"/>
  <c r="BX47" i="6" s="1"/>
  <c r="BW9" i="6"/>
  <c r="BW47" i="6" s="1"/>
  <c r="BU9" i="6"/>
  <c r="BU47" i="6" s="1"/>
  <c r="BT9" i="6"/>
  <c r="BT47" i="6" s="1"/>
  <c r="BS9" i="6"/>
  <c r="BS47" i="6" s="1"/>
  <c r="BQ9" i="6"/>
  <c r="BQ47" i="6" s="1"/>
  <c r="BP9" i="6"/>
  <c r="BP47" i="6" s="1"/>
  <c r="BO9" i="6"/>
  <c r="BO47" i="6" s="1"/>
  <c r="BN9" i="6"/>
  <c r="BN47" i="6" s="1"/>
  <c r="BM9" i="6"/>
  <c r="BM47" i="6" s="1"/>
  <c r="BM46" i="6"/>
  <c r="BL9" i="6"/>
  <c r="BL47" i="6" s="1"/>
  <c r="BK9" i="6"/>
  <c r="BK47" i="6" s="1"/>
  <c r="BK46" i="6"/>
  <c r="BJ9" i="6"/>
  <c r="BI9" i="6"/>
  <c r="BH9" i="6"/>
  <c r="BH47" i="6" s="1"/>
  <c r="BH46" i="6"/>
  <c r="BG10" i="6"/>
  <c r="BG47" i="6"/>
  <c r="BE46" i="6"/>
  <c r="BE9" i="6"/>
  <c r="BE47" i="6" s="1"/>
  <c r="BD46" i="6"/>
  <c r="BD9" i="6"/>
  <c r="BC9" i="6"/>
  <c r="BC47" i="6" s="1"/>
  <c r="BA9" i="6"/>
  <c r="BA46" i="6"/>
  <c r="AY46" i="6"/>
  <c r="AY9" i="6"/>
  <c r="AY47" i="6" s="1"/>
  <c r="AX46" i="6"/>
  <c r="AX9" i="6"/>
  <c r="AX47" i="6" s="1"/>
  <c r="AW46" i="6"/>
  <c r="AW9" i="6"/>
  <c r="AW47" i="6" s="1"/>
  <c r="AV9" i="6"/>
  <c r="AV47" i="6" s="1"/>
  <c r="AU46" i="6"/>
  <c r="AU9" i="6"/>
  <c r="AU47" i="6" s="1"/>
  <c r="AS9" i="6"/>
  <c r="AS47" i="6" s="1"/>
  <c r="AR9" i="6"/>
  <c r="AP8" i="6"/>
  <c r="AP46" i="6" s="1"/>
  <c r="AQ8" i="6"/>
  <c r="AQ9" i="6" s="1"/>
  <c r="AO8" i="6"/>
  <c r="AO9" i="6" s="1"/>
  <c r="AO47" i="6" s="1"/>
  <c r="AB8" i="6"/>
  <c r="AB46" i="6" s="1"/>
  <c r="AA6" i="6"/>
  <c r="AA75" i="6" s="1"/>
  <c r="Z6" i="6"/>
  <c r="Z45" i="6" s="1"/>
  <c r="AA9" i="6"/>
  <c r="AA77" i="6" s="1"/>
  <c r="Z9" i="6"/>
  <c r="C81" i="3"/>
  <c r="I85" i="3"/>
  <c r="K85" i="3"/>
  <c r="F81" i="3"/>
  <c r="L81" i="3"/>
  <c r="V6" i="6"/>
  <c r="V45" i="6" s="1"/>
  <c r="D85" i="3"/>
  <c r="E81" i="3"/>
  <c r="H85" i="3"/>
  <c r="F85" i="3"/>
  <c r="C85" i="3"/>
  <c r="H81" i="3"/>
  <c r="M81" i="3"/>
  <c r="N81" i="3"/>
  <c r="G85" i="3"/>
  <c r="G81" i="3"/>
  <c r="D81" i="3"/>
  <c r="M85" i="3"/>
  <c r="J85" i="3"/>
  <c r="W46" i="6"/>
  <c r="W47" i="6"/>
  <c r="K81" i="3"/>
  <c r="L85" i="3"/>
  <c r="E85" i="3"/>
  <c r="I81" i="3"/>
  <c r="X9" i="6"/>
  <c r="X47" i="6" s="1"/>
  <c r="X46" i="6"/>
  <c r="Q6" i="6"/>
  <c r="Q45" i="6" s="1"/>
  <c r="S6" i="6"/>
  <c r="S45" i="6" s="1"/>
  <c r="T6" i="6"/>
  <c r="T45" i="6" s="1"/>
  <c r="T8" i="6"/>
  <c r="X6" i="6"/>
  <c r="X45" i="6" s="1"/>
  <c r="U8" i="6"/>
  <c r="P9" i="6"/>
  <c r="P47" i="6" s="1"/>
  <c r="Y6" i="6"/>
  <c r="Y45" i="6" s="1"/>
  <c r="R8" i="6"/>
  <c r="N9" i="6"/>
  <c r="N47" i="6" s="1"/>
  <c r="Q9" i="6"/>
  <c r="Y9" i="6"/>
  <c r="Y47" i="6" s="1"/>
  <c r="V9" i="6"/>
  <c r="V47" i="6" s="1"/>
  <c r="S9" i="6"/>
  <c r="S47" i="6" s="1"/>
  <c r="O6" i="6"/>
  <c r="O45" i="6" s="1"/>
  <c r="O8" i="6"/>
  <c r="P6" i="6"/>
  <c r="P45" i="6" s="1"/>
  <c r="V46" i="6"/>
  <c r="W11" i="6"/>
  <c r="W49" i="6" s="1"/>
  <c r="P46" i="6"/>
  <c r="Q46" i="6"/>
  <c r="M9" i="6"/>
  <c r="K9" i="6"/>
  <c r="K46" i="6"/>
  <c r="I9" i="6"/>
  <c r="I47" i="6" s="1"/>
  <c r="G46" i="6"/>
  <c r="E46" i="6"/>
  <c r="E9" i="6"/>
  <c r="C9" i="6"/>
  <c r="C46" i="6"/>
  <c r="O93" i="3" l="1"/>
  <c r="C3" i="5" s="1"/>
  <c r="AM8" i="6"/>
  <c r="AH6" i="6"/>
  <c r="AH45" i="6" s="1"/>
  <c r="AM5" i="6"/>
  <c r="AM6" i="6" s="1"/>
  <c r="AM45" i="6" s="1"/>
  <c r="AE5" i="6"/>
  <c r="AE6" i="6" s="1"/>
  <c r="AE45" i="6" s="1"/>
  <c r="BV9" i="6"/>
  <c r="BV47" i="6" s="1"/>
  <c r="AN8" i="6"/>
  <c r="AG5" i="6"/>
  <c r="AK5" i="6"/>
  <c r="AD5" i="6"/>
  <c r="AD6" i="6" s="1"/>
  <c r="AD45" i="6" s="1"/>
  <c r="AH5" i="6"/>
  <c r="AH8" i="6" s="1"/>
  <c r="AL8" i="6"/>
  <c r="AL6" i="6"/>
  <c r="AL45" i="6" s="1"/>
  <c r="AF8" i="6"/>
  <c r="CI12" i="6"/>
  <c r="CI49" i="6"/>
  <c r="CH12" i="6"/>
  <c r="CH49" i="6"/>
  <c r="CG12" i="6"/>
  <c r="CF12" i="6"/>
  <c r="CF49" i="6"/>
  <c r="AZ9" i="6"/>
  <c r="AZ47" i="6" s="1"/>
  <c r="BR46" i="6"/>
  <c r="AT9" i="6"/>
  <c r="AT10" i="6" s="1"/>
  <c r="AT48" i="6" s="1"/>
  <c r="L10" i="6"/>
  <c r="L11" i="6" s="1"/>
  <c r="BF9" i="6"/>
  <c r="BF47" i="6" s="1"/>
  <c r="AC9" i="6"/>
  <c r="AC10" i="6" s="1"/>
  <c r="B46" i="6"/>
  <c r="B9" i="6"/>
  <c r="B10" i="6" s="1"/>
  <c r="B11" i="6" s="1"/>
  <c r="B49" i="6" s="1"/>
  <c r="BB9" i="6"/>
  <c r="BB10" i="6" s="1"/>
  <c r="BB48" i="6" s="1"/>
  <c r="CD47" i="6"/>
  <c r="F9" i="6"/>
  <c r="F46" i="6"/>
  <c r="J9" i="6"/>
  <c r="J47" i="6" s="1"/>
  <c r="J46" i="6"/>
  <c r="D46" i="6"/>
  <c r="D9" i="6"/>
  <c r="D47" i="6" s="1"/>
  <c r="CE11" i="6"/>
  <c r="CE12" i="6" s="1"/>
  <c r="CE50" i="6" s="1"/>
  <c r="CD11" i="6"/>
  <c r="CD77" i="1"/>
  <c r="CX77" i="1" s="1"/>
  <c r="CX68" i="1"/>
  <c r="AI4" i="6"/>
  <c r="AI7" i="6"/>
  <c r="AJ7" i="6"/>
  <c r="CX69" i="1"/>
  <c r="AJ4" i="6"/>
  <c r="H5" i="6"/>
  <c r="H6" i="6" s="1"/>
  <c r="H45" i="6" s="1"/>
  <c r="CC10" i="6"/>
  <c r="CC47" i="6"/>
  <c r="CB10" i="6"/>
  <c r="CB47" i="6"/>
  <c r="CA10" i="6"/>
  <c r="CA48" i="6" s="1"/>
  <c r="BZ10" i="6"/>
  <c r="BZ48" i="6" s="1"/>
  <c r="BY10" i="6"/>
  <c r="BY48" i="6" s="1"/>
  <c r="BX10" i="6"/>
  <c r="BX48" i="6" s="1"/>
  <c r="BW10" i="6"/>
  <c r="BW48" i="6" s="1"/>
  <c r="BV10" i="6"/>
  <c r="BV48" i="6" s="1"/>
  <c r="BU10" i="6"/>
  <c r="BU48" i="6" s="1"/>
  <c r="BT10" i="6"/>
  <c r="BT48" i="6" s="1"/>
  <c r="BS10" i="6"/>
  <c r="BS48" i="6" s="1"/>
  <c r="BR10" i="6"/>
  <c r="BR48" i="6" s="1"/>
  <c r="BQ10" i="6"/>
  <c r="BQ48" i="6" s="1"/>
  <c r="BP10" i="6"/>
  <c r="BO10" i="6"/>
  <c r="BO48" i="6" s="1"/>
  <c r="BN10" i="6"/>
  <c r="BN48" i="6" s="1"/>
  <c r="BM10" i="6"/>
  <c r="BM48" i="6" s="1"/>
  <c r="BL10" i="6"/>
  <c r="BK10" i="6"/>
  <c r="BK48" i="6" s="1"/>
  <c r="BJ10" i="6"/>
  <c r="BJ48" i="6" s="1"/>
  <c r="BJ47" i="6"/>
  <c r="BI10" i="6"/>
  <c r="BI48" i="6" s="1"/>
  <c r="BI47" i="6"/>
  <c r="BH10" i="6"/>
  <c r="BG11" i="6"/>
  <c r="BG48" i="6"/>
  <c r="BF10" i="6"/>
  <c r="BF48" i="6" s="1"/>
  <c r="BE10" i="6"/>
  <c r="BE48" i="6" s="1"/>
  <c r="BD10" i="6"/>
  <c r="BD48" i="6" s="1"/>
  <c r="BD47" i="6"/>
  <c r="BC10" i="6"/>
  <c r="BC48" i="6" s="1"/>
  <c r="BB47" i="6"/>
  <c r="BA10" i="6"/>
  <c r="BA47" i="6"/>
  <c r="AY10" i="6"/>
  <c r="AY48" i="6" s="1"/>
  <c r="AX10" i="6"/>
  <c r="AX48" i="6" s="1"/>
  <c r="AW10" i="6"/>
  <c r="AW48" i="6" s="1"/>
  <c r="AV10" i="6"/>
  <c r="AV48" i="6" s="1"/>
  <c r="AU10" i="6"/>
  <c r="AS10" i="6"/>
  <c r="AS48" i="6" s="1"/>
  <c r="AR10" i="6"/>
  <c r="AR48" i="6" s="1"/>
  <c r="AR47" i="6"/>
  <c r="AP9" i="6"/>
  <c r="AP10" i="6" s="1"/>
  <c r="AQ46" i="6"/>
  <c r="AO46" i="6"/>
  <c r="AQ10" i="6"/>
  <c r="AQ47" i="6"/>
  <c r="AO10" i="6"/>
  <c r="AC11" i="6"/>
  <c r="AC49" i="6" s="1"/>
  <c r="AB9" i="6"/>
  <c r="AB10" i="6" s="1"/>
  <c r="AB48" i="6" s="1"/>
  <c r="AA10" i="6"/>
  <c r="Z10" i="6"/>
  <c r="Z48" i="6" s="1"/>
  <c r="Z47" i="6"/>
  <c r="O85" i="3"/>
  <c r="O81" i="3"/>
  <c r="X10" i="6"/>
  <c r="X11" i="6" s="1"/>
  <c r="X49" i="6" s="1"/>
  <c r="T9" i="6"/>
  <c r="T46" i="6"/>
  <c r="U9" i="6"/>
  <c r="U46" i="6"/>
  <c r="N10" i="6"/>
  <c r="S10" i="6"/>
  <c r="Q10" i="6"/>
  <c r="Q48" i="6" s="1"/>
  <c r="R9" i="6"/>
  <c r="R46" i="6"/>
  <c r="O9" i="6"/>
  <c r="O47" i="6" s="1"/>
  <c r="O46" i="6"/>
  <c r="Y10" i="6"/>
  <c r="Y48" i="6" s="1"/>
  <c r="Q47" i="6"/>
  <c r="P10" i="6"/>
  <c r="P48" i="6" s="1"/>
  <c r="V10" i="6"/>
  <c r="V48" i="6" s="1"/>
  <c r="W12" i="6"/>
  <c r="M10" i="6"/>
  <c r="M47" i="6"/>
  <c r="K10" i="6"/>
  <c r="K47" i="6"/>
  <c r="I10" i="6"/>
  <c r="G10" i="6"/>
  <c r="G47" i="6"/>
  <c r="E10" i="6"/>
  <c r="E48" i="6" s="1"/>
  <c r="E47" i="6"/>
  <c r="C10" i="6"/>
  <c r="C47" i="6"/>
  <c r="B48" i="6"/>
  <c r="AH9" i="6" l="1"/>
  <c r="AH46" i="6"/>
  <c r="AF46" i="6"/>
  <c r="AF9" i="6"/>
  <c r="AN9" i="6"/>
  <c r="AN47" i="6"/>
  <c r="AD8" i="6"/>
  <c r="AZ10" i="6"/>
  <c r="AZ48" i="6" s="1"/>
  <c r="AK6" i="6"/>
  <c r="AK45" i="6" s="1"/>
  <c r="AK8" i="6"/>
  <c r="AL46" i="6"/>
  <c r="AL9" i="6"/>
  <c r="AG8" i="6"/>
  <c r="AG6" i="6"/>
  <c r="AG45" i="6" s="1"/>
  <c r="AM46" i="6"/>
  <c r="AM47" i="6"/>
  <c r="AM9" i="6"/>
  <c r="AM10" i="6" s="1"/>
  <c r="AM48" i="6" s="1"/>
  <c r="AN46" i="6"/>
  <c r="AE8" i="6"/>
  <c r="CI13" i="6"/>
  <c r="CI50" i="6"/>
  <c r="CH13" i="6"/>
  <c r="CH50" i="6"/>
  <c r="CG13" i="6"/>
  <c r="CG50" i="6"/>
  <c r="CF13" i="6"/>
  <c r="CF50" i="6"/>
  <c r="L48" i="6"/>
  <c r="AT47" i="6"/>
  <c r="AC48" i="6"/>
  <c r="B47" i="6"/>
  <c r="AC47" i="6"/>
  <c r="AZ11" i="6"/>
  <c r="AJ5" i="6"/>
  <c r="AJ8" i="6" s="1"/>
  <c r="AJ46" i="6" s="1"/>
  <c r="F47" i="6"/>
  <c r="F10" i="6"/>
  <c r="F11" i="6" s="1"/>
  <c r="F12" i="6" s="1"/>
  <c r="F50" i="6" s="1"/>
  <c r="D10" i="6"/>
  <c r="D48" i="6" s="1"/>
  <c r="J10" i="6"/>
  <c r="J11" i="6" s="1"/>
  <c r="J49" i="6" s="1"/>
  <c r="CE49" i="6"/>
  <c r="CE13" i="6"/>
  <c r="CD12" i="6"/>
  <c r="CD50" i="6" s="1"/>
  <c r="CD49" i="6"/>
  <c r="AI5" i="6"/>
  <c r="AI6" i="6" s="1"/>
  <c r="AI45" i="6" s="1"/>
  <c r="H8" i="6"/>
  <c r="AJ6" i="6"/>
  <c r="AJ45" i="6" s="1"/>
  <c r="CC11" i="6"/>
  <c r="CC48" i="6"/>
  <c r="CB11" i="6"/>
  <c r="CB49" i="6" s="1"/>
  <c r="CB48" i="6"/>
  <c r="AP47" i="6"/>
  <c r="AP48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P48" i="6"/>
  <c r="BO11" i="6"/>
  <c r="BN11" i="6"/>
  <c r="BM11" i="6"/>
  <c r="BL11" i="6"/>
  <c r="BL48" i="6"/>
  <c r="BK11" i="6"/>
  <c r="BJ11" i="6"/>
  <c r="BI11" i="6"/>
  <c r="BH11" i="6"/>
  <c r="BH48" i="6"/>
  <c r="BG12" i="6"/>
  <c r="BG50" i="6" s="1"/>
  <c r="BG49" i="6"/>
  <c r="BF11" i="6"/>
  <c r="BE11" i="6"/>
  <c r="BD11" i="6"/>
  <c r="BC11" i="6"/>
  <c r="BB11" i="6"/>
  <c r="BA11" i="6"/>
  <c r="BA48" i="6"/>
  <c r="AZ12" i="6"/>
  <c r="AZ50" i="6" s="1"/>
  <c r="AY11" i="6"/>
  <c r="AX11" i="6"/>
  <c r="AW11" i="6"/>
  <c r="AV11" i="6"/>
  <c r="AU11" i="6"/>
  <c r="AU48" i="6"/>
  <c r="AT11" i="6"/>
  <c r="AS11" i="6"/>
  <c r="AS49" i="6" s="1"/>
  <c r="AR11" i="6"/>
  <c r="D3" i="5"/>
  <c r="AQ11" i="6"/>
  <c r="AQ49" i="6" s="1"/>
  <c r="AQ48" i="6"/>
  <c r="AP11" i="6"/>
  <c r="AP49" i="6" s="1"/>
  <c r="AO11" i="6"/>
  <c r="AO48" i="6"/>
  <c r="AM11" i="6"/>
  <c r="AC12" i="6"/>
  <c r="AC50" i="6" s="1"/>
  <c r="AB11" i="6"/>
  <c r="AB12" i="6" s="1"/>
  <c r="AB47" i="6"/>
  <c r="AA11" i="6"/>
  <c r="AA79" i="6" s="1"/>
  <c r="AA78" i="6"/>
  <c r="Z11" i="6"/>
  <c r="X48" i="6"/>
  <c r="T10" i="6"/>
  <c r="T48" i="6" s="1"/>
  <c r="T47" i="6"/>
  <c r="W13" i="6"/>
  <c r="W51" i="6" s="1"/>
  <c r="W50" i="6"/>
  <c r="P11" i="6"/>
  <c r="P49" i="6"/>
  <c r="O10" i="6"/>
  <c r="O48" i="6" s="1"/>
  <c r="R10" i="6"/>
  <c r="R48" i="6" s="1"/>
  <c r="Q11" i="6"/>
  <c r="Q49" i="6" s="1"/>
  <c r="S11" i="6"/>
  <c r="N11" i="6"/>
  <c r="N49" i="6" s="1"/>
  <c r="U10" i="6"/>
  <c r="U48" i="6" s="1"/>
  <c r="X12" i="6"/>
  <c r="X50" i="6" s="1"/>
  <c r="V11" i="6"/>
  <c r="V49" i="6" s="1"/>
  <c r="R47" i="6"/>
  <c r="S48" i="6"/>
  <c r="N48" i="6"/>
  <c r="U47" i="6"/>
  <c r="Y11" i="6"/>
  <c r="Y49" i="6" s="1"/>
  <c r="M11" i="6"/>
  <c r="M48" i="6"/>
  <c r="L12" i="6"/>
  <c r="L49" i="6"/>
  <c r="K11" i="6"/>
  <c r="K48" i="6"/>
  <c r="I11" i="6"/>
  <c r="I49" i="6" s="1"/>
  <c r="I48" i="6"/>
  <c r="G11" i="6"/>
  <c r="G49" i="6" s="1"/>
  <c r="G48" i="6"/>
  <c r="E11" i="6"/>
  <c r="C11" i="6"/>
  <c r="C49" i="6" s="1"/>
  <c r="C48" i="6"/>
  <c r="B12" i="6"/>
  <c r="AK46" i="6" l="1"/>
  <c r="AK9" i="6"/>
  <c r="AL47" i="6"/>
  <c r="AL10" i="6"/>
  <c r="AF47" i="6"/>
  <c r="AF10" i="6"/>
  <c r="AF11" i="6" s="1"/>
  <c r="AZ49" i="6"/>
  <c r="AE46" i="6"/>
  <c r="AE9" i="6"/>
  <c r="AD46" i="6"/>
  <c r="AD9" i="6"/>
  <c r="F49" i="6"/>
  <c r="F48" i="6"/>
  <c r="AG46" i="6"/>
  <c r="AG9" i="6"/>
  <c r="AG10" i="6" s="1"/>
  <c r="AN10" i="6"/>
  <c r="AN48" i="6"/>
  <c r="AH47" i="6"/>
  <c r="AH10" i="6"/>
  <c r="CI14" i="6"/>
  <c r="CI52" i="6" s="1"/>
  <c r="CI51" i="6"/>
  <c r="CH14" i="6"/>
  <c r="CH52" i="6" s="1"/>
  <c r="CH51" i="6"/>
  <c r="CG14" i="6"/>
  <c r="CG52" i="6" s="1"/>
  <c r="CG51" i="6"/>
  <c r="CF14" i="6"/>
  <c r="CF52" i="6" s="1"/>
  <c r="CF51" i="6"/>
  <c r="J48" i="6"/>
  <c r="J12" i="6"/>
  <c r="J50" i="6" s="1"/>
  <c r="AI8" i="6"/>
  <c r="AI9" i="6" s="1"/>
  <c r="D11" i="6"/>
  <c r="D12" i="6" s="1"/>
  <c r="D13" i="6" s="1"/>
  <c r="CE14" i="6"/>
  <c r="CE51" i="6"/>
  <c r="CD13" i="6"/>
  <c r="AI46" i="6"/>
  <c r="AJ9" i="6"/>
  <c r="H9" i="6"/>
  <c r="H47" i="6" s="1"/>
  <c r="H46" i="6"/>
  <c r="CC12" i="6"/>
  <c r="CC49" i="6"/>
  <c r="CB12" i="6"/>
  <c r="CA12" i="6"/>
  <c r="CA49" i="6"/>
  <c r="BZ12" i="6"/>
  <c r="BZ49" i="6"/>
  <c r="BY12" i="6"/>
  <c r="BY50" i="6"/>
  <c r="BY49" i="6"/>
  <c r="BX12" i="6"/>
  <c r="BX50" i="6" s="1"/>
  <c r="BX49" i="6"/>
  <c r="BW12" i="6"/>
  <c r="BW49" i="6"/>
  <c r="BV12" i="6"/>
  <c r="BV49" i="6"/>
  <c r="BU12" i="6"/>
  <c r="BU50" i="6" s="1"/>
  <c r="BU49" i="6"/>
  <c r="BT12" i="6"/>
  <c r="BT50" i="6" s="1"/>
  <c r="BT49" i="6"/>
  <c r="BS12" i="6"/>
  <c r="BS50" i="6" s="1"/>
  <c r="BS49" i="6"/>
  <c r="BR12" i="6"/>
  <c r="BR49" i="6"/>
  <c r="BQ12" i="6"/>
  <c r="BQ50" i="6" s="1"/>
  <c r="BQ49" i="6"/>
  <c r="BP12" i="6"/>
  <c r="BP50" i="6" s="1"/>
  <c r="BP49" i="6"/>
  <c r="BO12" i="6"/>
  <c r="BO49" i="6"/>
  <c r="BN12" i="6"/>
  <c r="BN50" i="6" s="1"/>
  <c r="BN49" i="6"/>
  <c r="BM12" i="6"/>
  <c r="BM49" i="6"/>
  <c r="BL12" i="6"/>
  <c r="BL50" i="6" s="1"/>
  <c r="BL49" i="6"/>
  <c r="BK12" i="6"/>
  <c r="BK49" i="6"/>
  <c r="BJ12" i="6"/>
  <c r="BJ49" i="6"/>
  <c r="BI12" i="6"/>
  <c r="BI49" i="6"/>
  <c r="BH12" i="6"/>
  <c r="BH50" i="6" s="1"/>
  <c r="BH49" i="6"/>
  <c r="BG13" i="6"/>
  <c r="BF12" i="6"/>
  <c r="BF49" i="6"/>
  <c r="BE12" i="6"/>
  <c r="BE49" i="6"/>
  <c r="BD12" i="6"/>
  <c r="BD49" i="6"/>
  <c r="BC12" i="6"/>
  <c r="BC49" i="6"/>
  <c r="BB12" i="6"/>
  <c r="BB49" i="6"/>
  <c r="BA12" i="6"/>
  <c r="BA50" i="6" s="1"/>
  <c r="BA49" i="6"/>
  <c r="AZ13" i="6"/>
  <c r="AY12" i="6"/>
  <c r="AY49" i="6"/>
  <c r="AX12" i="6"/>
  <c r="AX49" i="6"/>
  <c r="AW12" i="6"/>
  <c r="AW49" i="6"/>
  <c r="AV12" i="6"/>
  <c r="AV49" i="6"/>
  <c r="AU12" i="6"/>
  <c r="AU50" i="6" s="1"/>
  <c r="AU49" i="6"/>
  <c r="AT12" i="6"/>
  <c r="AT49" i="6"/>
  <c r="AS12" i="6"/>
  <c r="AS50" i="6" s="1"/>
  <c r="AR12" i="6"/>
  <c r="AR50" i="6" s="1"/>
  <c r="AR49" i="6"/>
  <c r="AQ12" i="6"/>
  <c r="AP12" i="6"/>
  <c r="AO12" i="6"/>
  <c r="AO50" i="6" s="1"/>
  <c r="AO49" i="6"/>
  <c r="AM12" i="6"/>
  <c r="AM49" i="6"/>
  <c r="AC13" i="6"/>
  <c r="AC51" i="6" s="1"/>
  <c r="AB49" i="6"/>
  <c r="AB13" i="6"/>
  <c r="AB50" i="6"/>
  <c r="AA12" i="6"/>
  <c r="AA80" i="6" s="1"/>
  <c r="Z12" i="6"/>
  <c r="Z49" i="6"/>
  <c r="T11" i="6"/>
  <c r="T12" i="6" s="1"/>
  <c r="T13" i="6" s="1"/>
  <c r="S12" i="6"/>
  <c r="S49" i="6"/>
  <c r="R11" i="6"/>
  <c r="R49" i="6" s="1"/>
  <c r="P12" i="6"/>
  <c r="P50" i="6" s="1"/>
  <c r="N12" i="6"/>
  <c r="W14" i="6"/>
  <c r="Y12" i="6"/>
  <c r="V12" i="6"/>
  <c r="V50" i="6" s="1"/>
  <c r="Q12" i="6"/>
  <c r="O11" i="6"/>
  <c r="O49" i="6" s="1"/>
  <c r="U11" i="6"/>
  <c r="U49" i="6" s="1"/>
  <c r="X13" i="6"/>
  <c r="X51" i="6" s="1"/>
  <c r="M12" i="6"/>
  <c r="M49" i="6"/>
  <c r="L13" i="6"/>
  <c r="L50" i="6"/>
  <c r="K12" i="6"/>
  <c r="K50" i="6" s="1"/>
  <c r="K49" i="6"/>
  <c r="I12" i="6"/>
  <c r="I50" i="6" s="1"/>
  <c r="G12" i="6"/>
  <c r="G50" i="6" s="1"/>
  <c r="F13" i="6"/>
  <c r="E12" i="6"/>
  <c r="E50" i="6" s="1"/>
  <c r="E49" i="6"/>
  <c r="C12" i="6"/>
  <c r="B13" i="6"/>
  <c r="B50" i="6"/>
  <c r="AD10" i="6" l="1"/>
  <c r="AD48" i="6" s="1"/>
  <c r="AL48" i="6"/>
  <c r="AL11" i="6"/>
  <c r="AN11" i="6"/>
  <c r="AN49" i="6" s="1"/>
  <c r="AF48" i="6"/>
  <c r="AH48" i="6"/>
  <c r="AH11" i="6"/>
  <c r="AG48" i="6"/>
  <c r="AG11" i="6"/>
  <c r="AE10" i="6"/>
  <c r="AE48" i="6" s="1"/>
  <c r="AE47" i="6"/>
  <c r="AF49" i="6"/>
  <c r="AF12" i="6"/>
  <c r="AK47" i="6"/>
  <c r="AK10" i="6"/>
  <c r="AG47" i="6"/>
  <c r="AD47" i="6"/>
  <c r="CI15" i="6"/>
  <c r="CH15" i="6"/>
  <c r="CG15" i="6"/>
  <c r="CF15" i="6"/>
  <c r="J13" i="6"/>
  <c r="J51" i="6" s="1"/>
  <c r="D50" i="6"/>
  <c r="D49" i="6"/>
  <c r="AI47" i="6"/>
  <c r="CE15" i="6"/>
  <c r="CE52" i="6"/>
  <c r="CD14" i="6"/>
  <c r="CD51" i="6"/>
  <c r="AJ10" i="6"/>
  <c r="AJ48" i="6" s="1"/>
  <c r="H10" i="6"/>
  <c r="H48" i="6" s="1"/>
  <c r="AJ47" i="6"/>
  <c r="AI10" i="6"/>
  <c r="AI48" i="6" s="1"/>
  <c r="CC13" i="6"/>
  <c r="CC50" i="6"/>
  <c r="CB13" i="6"/>
  <c r="CB51" i="6" s="1"/>
  <c r="CB50" i="6"/>
  <c r="CA13" i="6"/>
  <c r="CA50" i="6"/>
  <c r="BZ13" i="6"/>
  <c r="BZ50" i="6"/>
  <c r="BY13" i="6"/>
  <c r="BY51" i="6" s="1"/>
  <c r="BX13" i="6"/>
  <c r="BW13" i="6"/>
  <c r="BW50" i="6"/>
  <c r="BV13" i="6"/>
  <c r="BV50" i="6"/>
  <c r="BU13" i="6"/>
  <c r="BT13" i="6"/>
  <c r="BS13" i="6"/>
  <c r="BR13" i="6"/>
  <c r="BR50" i="6"/>
  <c r="BQ13" i="6"/>
  <c r="BP13" i="6"/>
  <c r="BO13" i="6"/>
  <c r="BO50" i="6"/>
  <c r="BN13" i="6"/>
  <c r="BM13" i="6"/>
  <c r="BM50" i="6"/>
  <c r="BL13" i="6"/>
  <c r="BK13" i="6"/>
  <c r="BK50" i="6"/>
  <c r="BJ13" i="6"/>
  <c r="BJ50" i="6"/>
  <c r="BI13" i="6"/>
  <c r="BI50" i="6"/>
  <c r="BH13" i="6"/>
  <c r="BG14" i="6"/>
  <c r="BG51" i="6"/>
  <c r="BF13" i="6"/>
  <c r="BF50" i="6"/>
  <c r="BE13" i="6"/>
  <c r="BE50" i="6"/>
  <c r="BD13" i="6"/>
  <c r="BD50" i="6"/>
  <c r="BC13" i="6"/>
  <c r="BC50" i="6"/>
  <c r="BB13" i="6"/>
  <c r="BB50" i="6"/>
  <c r="BA13" i="6"/>
  <c r="AZ14" i="6"/>
  <c r="AZ51" i="6"/>
  <c r="AY13" i="6"/>
  <c r="AY50" i="6"/>
  <c r="AX13" i="6"/>
  <c r="AX50" i="6"/>
  <c r="AW13" i="6"/>
  <c r="AW50" i="6"/>
  <c r="AV13" i="6"/>
  <c r="AV50" i="6"/>
  <c r="AU13" i="6"/>
  <c r="AT13" i="6"/>
  <c r="AT50" i="6"/>
  <c r="AS13" i="6"/>
  <c r="AS51" i="6" s="1"/>
  <c r="AR13" i="6"/>
  <c r="AR51" i="6" s="1"/>
  <c r="AQ13" i="6"/>
  <c r="AQ51" i="6" s="1"/>
  <c r="AQ50" i="6"/>
  <c r="AP13" i="6"/>
  <c r="AP50" i="6"/>
  <c r="AO13" i="6"/>
  <c r="AM13" i="6"/>
  <c r="AM51" i="6"/>
  <c r="AM50" i="6"/>
  <c r="AC14" i="6"/>
  <c r="AC52" i="6" s="1"/>
  <c r="AB14" i="6"/>
  <c r="AB52" i="6" s="1"/>
  <c r="AB51" i="6"/>
  <c r="AA13" i="6"/>
  <c r="Z13" i="6"/>
  <c r="Z50" i="6"/>
  <c r="T50" i="6"/>
  <c r="T51" i="6"/>
  <c r="T49" i="6"/>
  <c r="Q13" i="6"/>
  <c r="Q51" i="6" s="1"/>
  <c r="W15" i="6"/>
  <c r="N13" i="6"/>
  <c r="N51" i="6" s="1"/>
  <c r="Y13" i="6"/>
  <c r="Y51" i="6" s="1"/>
  <c r="N50" i="6"/>
  <c r="S13" i="6"/>
  <c r="S51" i="6" s="1"/>
  <c r="U12" i="6"/>
  <c r="U50" i="6" s="1"/>
  <c r="O12" i="6"/>
  <c r="Y50" i="6"/>
  <c r="X14" i="6"/>
  <c r="X52" i="6" s="1"/>
  <c r="V13" i="6"/>
  <c r="V51" i="6" s="1"/>
  <c r="W52" i="6"/>
  <c r="P13" i="6"/>
  <c r="P51" i="6" s="1"/>
  <c r="Q50" i="6"/>
  <c r="T14" i="6"/>
  <c r="T52" i="6" s="1"/>
  <c r="R12" i="6"/>
  <c r="R50" i="6" s="1"/>
  <c r="S50" i="6"/>
  <c r="M13" i="6"/>
  <c r="M50" i="6"/>
  <c r="L14" i="6"/>
  <c r="L51" i="6"/>
  <c r="K13" i="6"/>
  <c r="J14" i="6"/>
  <c r="I13" i="6"/>
  <c r="I51" i="6" s="1"/>
  <c r="G13" i="6"/>
  <c r="G51" i="6" s="1"/>
  <c r="F14" i="6"/>
  <c r="F51" i="6"/>
  <c r="E13" i="6"/>
  <c r="D14" i="6"/>
  <c r="D51" i="6"/>
  <c r="C13" i="6"/>
  <c r="C50" i="6"/>
  <c r="B14" i="6"/>
  <c r="B51" i="6"/>
  <c r="AF13" i="6" l="1"/>
  <c r="AF14" i="6" s="1"/>
  <c r="AF52" i="6" s="1"/>
  <c r="AF50" i="6"/>
  <c r="AG12" i="6"/>
  <c r="AG49" i="6"/>
  <c r="AF51" i="6"/>
  <c r="AK48" i="6"/>
  <c r="AK11" i="6"/>
  <c r="AE11" i="6"/>
  <c r="AE12" i="6" s="1"/>
  <c r="AL12" i="6"/>
  <c r="AL13" i="6" s="1"/>
  <c r="AL49" i="6"/>
  <c r="AH12" i="6"/>
  <c r="AH49" i="6"/>
  <c r="AN12" i="6"/>
  <c r="AD11" i="6"/>
  <c r="AD49" i="6" s="1"/>
  <c r="CI16" i="6"/>
  <c r="CI53" i="6"/>
  <c r="CH16" i="6"/>
  <c r="CH53" i="6"/>
  <c r="CG16" i="6"/>
  <c r="CG53" i="6"/>
  <c r="CF16" i="6"/>
  <c r="CF53" i="6"/>
  <c r="CE16" i="6"/>
  <c r="CE53" i="6"/>
  <c r="CD15" i="6"/>
  <c r="CD52" i="6"/>
  <c r="AI11" i="6"/>
  <c r="AI49" i="6" s="1"/>
  <c r="H11" i="6"/>
  <c r="H49" i="6" s="1"/>
  <c r="AJ11" i="6"/>
  <c r="AJ49" i="6" s="1"/>
  <c r="CC14" i="6"/>
  <c r="CC52" i="6" s="1"/>
  <c r="CC51" i="6"/>
  <c r="CB14" i="6"/>
  <c r="CB52" i="6" s="1"/>
  <c r="CA14" i="6"/>
  <c r="CA52" i="6" s="1"/>
  <c r="CA51" i="6"/>
  <c r="BZ14" i="6"/>
  <c r="BZ51" i="6"/>
  <c r="BY14" i="6"/>
  <c r="BY52" i="6" s="1"/>
  <c r="BX14" i="6"/>
  <c r="BX51" i="6"/>
  <c r="BW14" i="6"/>
  <c r="BW52" i="6" s="1"/>
  <c r="BW51" i="6"/>
  <c r="BV14" i="6"/>
  <c r="BV52" i="6" s="1"/>
  <c r="BV51" i="6"/>
  <c r="BU14" i="6"/>
  <c r="BU51" i="6"/>
  <c r="BT14" i="6"/>
  <c r="BT51" i="6"/>
  <c r="BS14" i="6"/>
  <c r="BS51" i="6"/>
  <c r="BR14" i="6"/>
  <c r="BR52" i="6" s="1"/>
  <c r="BR51" i="6"/>
  <c r="BQ14" i="6"/>
  <c r="BQ52" i="6" s="1"/>
  <c r="BQ51" i="6"/>
  <c r="BP14" i="6"/>
  <c r="BP52" i="6" s="1"/>
  <c r="BP51" i="6"/>
  <c r="BO14" i="6"/>
  <c r="BO52" i="6" s="1"/>
  <c r="BO51" i="6"/>
  <c r="BN14" i="6"/>
  <c r="BN52" i="6" s="1"/>
  <c r="BN51" i="6"/>
  <c r="BM14" i="6"/>
  <c r="BM52" i="6" s="1"/>
  <c r="BM51" i="6"/>
  <c r="BL14" i="6"/>
  <c r="BL52" i="6" s="1"/>
  <c r="BL51" i="6"/>
  <c r="BK14" i="6"/>
  <c r="BK51" i="6"/>
  <c r="BJ14" i="6"/>
  <c r="BJ52" i="6" s="1"/>
  <c r="BJ51" i="6"/>
  <c r="BI14" i="6"/>
  <c r="BI52" i="6" s="1"/>
  <c r="BI51" i="6"/>
  <c r="BH14" i="6"/>
  <c r="BH51" i="6"/>
  <c r="BG15" i="6"/>
  <c r="BG52" i="6"/>
  <c r="BF14" i="6"/>
  <c r="BF52" i="6" s="1"/>
  <c r="BF51" i="6"/>
  <c r="BE14" i="6"/>
  <c r="BE51" i="6"/>
  <c r="BD14" i="6"/>
  <c r="BD52" i="6" s="1"/>
  <c r="BD51" i="6"/>
  <c r="BC14" i="6"/>
  <c r="BC52" i="6" s="1"/>
  <c r="BC51" i="6"/>
  <c r="BB14" i="6"/>
  <c r="BB52" i="6" s="1"/>
  <c r="BB51" i="6"/>
  <c r="BA14" i="6"/>
  <c r="BA51" i="6"/>
  <c r="AZ15" i="6"/>
  <c r="AZ52" i="6"/>
  <c r="AY14" i="6"/>
  <c r="AY52" i="6" s="1"/>
  <c r="AY51" i="6"/>
  <c r="AX14" i="6"/>
  <c r="AX52" i="6" s="1"/>
  <c r="AX51" i="6"/>
  <c r="AW14" i="6"/>
  <c r="AW52" i="6" s="1"/>
  <c r="AW51" i="6"/>
  <c r="AV14" i="6"/>
  <c r="AV52" i="6" s="1"/>
  <c r="AV51" i="6"/>
  <c r="AU14" i="6"/>
  <c r="AU51" i="6"/>
  <c r="AT14" i="6"/>
  <c r="AT52" i="6" s="1"/>
  <c r="AT51" i="6"/>
  <c r="AS14" i="6"/>
  <c r="AS52" i="6" s="1"/>
  <c r="AR14" i="6"/>
  <c r="AR52" i="6" s="1"/>
  <c r="AQ14" i="6"/>
  <c r="AQ52" i="6" s="1"/>
  <c r="AP14" i="6"/>
  <c r="AP52" i="6" s="1"/>
  <c r="AP51" i="6"/>
  <c r="AO14" i="6"/>
  <c r="AO51" i="6"/>
  <c r="AM14" i="6"/>
  <c r="AM52" i="6" s="1"/>
  <c r="AL14" i="6"/>
  <c r="AL52" i="6" s="1"/>
  <c r="AF15" i="6"/>
  <c r="AC15" i="6"/>
  <c r="AC53" i="6" s="1"/>
  <c r="AB15" i="6"/>
  <c r="AB53" i="6" s="1"/>
  <c r="AA14" i="6"/>
  <c r="AA82" i="6" s="1"/>
  <c r="AA81" i="6"/>
  <c r="Z14" i="6"/>
  <c r="Z51" i="6"/>
  <c r="O13" i="6"/>
  <c r="W16" i="6"/>
  <c r="W54" i="6" s="1"/>
  <c r="O50" i="6"/>
  <c r="S14" i="6"/>
  <c r="S52" i="6" s="1"/>
  <c r="W53" i="6"/>
  <c r="X15" i="6"/>
  <c r="U13" i="6"/>
  <c r="N14" i="6"/>
  <c r="N52" i="6" s="1"/>
  <c r="Q14" i="6"/>
  <c r="Y14" i="6"/>
  <c r="R13" i="6"/>
  <c r="R51" i="6" s="1"/>
  <c r="T15" i="6"/>
  <c r="P14" i="6"/>
  <c r="P52" i="6" s="1"/>
  <c r="V14" i="6"/>
  <c r="V52" i="6" s="1"/>
  <c r="M14" i="6"/>
  <c r="M52" i="6" s="1"/>
  <c r="M51" i="6"/>
  <c r="L15" i="6"/>
  <c r="L53" i="6" s="1"/>
  <c r="L52" i="6"/>
  <c r="K14" i="6"/>
  <c r="K52" i="6" s="1"/>
  <c r="K51" i="6"/>
  <c r="J15" i="6"/>
  <c r="J53" i="6" s="1"/>
  <c r="J52" i="6"/>
  <c r="I14" i="6"/>
  <c r="G14" i="6"/>
  <c r="F15" i="6"/>
  <c r="F53" i="6" s="1"/>
  <c r="F52" i="6"/>
  <c r="E14" i="6"/>
  <c r="E52" i="6" s="1"/>
  <c r="E51" i="6"/>
  <c r="D15" i="6"/>
  <c r="D53" i="6" s="1"/>
  <c r="D52" i="6"/>
  <c r="C14" i="6"/>
  <c r="C52" i="6" s="1"/>
  <c r="C51" i="6"/>
  <c r="B15" i="6"/>
  <c r="B52" i="6"/>
  <c r="AN13" i="6" l="1"/>
  <c r="AN14" i="6" s="1"/>
  <c r="AK12" i="6"/>
  <c r="AG13" i="6"/>
  <c r="AG14" i="6" s="1"/>
  <c r="AG52" i="6" s="1"/>
  <c r="AG50" i="6"/>
  <c r="AL51" i="6"/>
  <c r="AE49" i="6"/>
  <c r="AD12" i="6"/>
  <c r="AH13" i="6"/>
  <c r="AH14" i="6" s="1"/>
  <c r="AH52" i="6" s="1"/>
  <c r="AH50" i="6"/>
  <c r="AE50" i="6"/>
  <c r="AE13" i="6"/>
  <c r="AN50" i="6"/>
  <c r="AK49" i="6"/>
  <c r="AL50" i="6"/>
  <c r="CI17" i="6"/>
  <c r="CI54" i="6"/>
  <c r="CH17" i="6"/>
  <c r="CH54" i="6"/>
  <c r="CG17" i="6"/>
  <c r="CG54" i="6"/>
  <c r="CF17" i="6"/>
  <c r="CF54" i="6"/>
  <c r="CE17" i="6"/>
  <c r="CE19" i="6" s="1" a="1"/>
  <c r="CE54" i="6"/>
  <c r="CD16" i="6"/>
  <c r="CD53" i="6"/>
  <c r="H12" i="6"/>
  <c r="H50" i="6" s="1"/>
  <c r="AJ12" i="6"/>
  <c r="AJ50" i="6" s="1"/>
  <c r="AI12" i="6"/>
  <c r="AI50" i="6" s="1"/>
  <c r="CC15" i="6"/>
  <c r="CB15" i="6"/>
  <c r="CA15" i="6"/>
  <c r="BZ15" i="6"/>
  <c r="BZ52" i="6"/>
  <c r="BY15" i="6"/>
  <c r="BY53" i="6" s="1"/>
  <c r="BX15" i="6"/>
  <c r="BX52" i="6"/>
  <c r="BW15" i="6"/>
  <c r="BV15" i="6"/>
  <c r="BU15" i="6"/>
  <c r="BU52" i="6"/>
  <c r="BT15" i="6"/>
  <c r="BT52" i="6"/>
  <c r="BS15" i="6"/>
  <c r="BS52" i="6"/>
  <c r="BR15" i="6"/>
  <c r="BQ15" i="6"/>
  <c r="BP15" i="6"/>
  <c r="BO15" i="6"/>
  <c r="BN15" i="6"/>
  <c r="BM15" i="6"/>
  <c r="BL15" i="6"/>
  <c r="BK15" i="6"/>
  <c r="BK53" i="6" s="1"/>
  <c r="BK52" i="6"/>
  <c r="BJ15" i="6"/>
  <c r="BI15" i="6"/>
  <c r="BH15" i="6"/>
  <c r="BH52" i="6"/>
  <c r="BG16" i="6"/>
  <c r="BG54" i="6" s="1"/>
  <c r="BG53" i="6"/>
  <c r="BF15" i="6"/>
  <c r="BF53" i="6" s="1"/>
  <c r="BE15" i="6"/>
  <c r="BE52" i="6"/>
  <c r="BD15" i="6"/>
  <c r="BC15" i="6"/>
  <c r="BB15" i="6"/>
  <c r="BA15" i="6"/>
  <c r="BA52" i="6"/>
  <c r="AZ16" i="6"/>
  <c r="AZ54" i="6" s="1"/>
  <c r="AZ53" i="6"/>
  <c r="AY15" i="6"/>
  <c r="AX15" i="6"/>
  <c r="AW15" i="6"/>
  <c r="AV15" i="6"/>
  <c r="AU15" i="6"/>
  <c r="AU52" i="6"/>
  <c r="AT15" i="6"/>
  <c r="AS15" i="6"/>
  <c r="AS53" i="6" s="1"/>
  <c r="AR15" i="6"/>
  <c r="AQ15" i="6"/>
  <c r="AQ53" i="6" s="1"/>
  <c r="AP15" i="6"/>
  <c r="AO15" i="6"/>
  <c r="AO52" i="6"/>
  <c r="AM15" i="6"/>
  <c r="AL15" i="6"/>
  <c r="AF16" i="6"/>
  <c r="AF54" i="6" s="1"/>
  <c r="AF53" i="6"/>
  <c r="AC16" i="6"/>
  <c r="AB16" i="6"/>
  <c r="AB54" i="6" s="1"/>
  <c r="AA15" i="6"/>
  <c r="Z15" i="6"/>
  <c r="Z53" i="6" s="1"/>
  <c r="Z52" i="6"/>
  <c r="P15" i="6"/>
  <c r="Q15" i="6"/>
  <c r="X16" i="6"/>
  <c r="S15" i="6"/>
  <c r="S53" i="6" s="1"/>
  <c r="V15" i="6"/>
  <c r="T16" i="6"/>
  <c r="T54" i="6" s="1"/>
  <c r="Q52" i="6"/>
  <c r="U14" i="6"/>
  <c r="X53" i="6"/>
  <c r="O14" i="6"/>
  <c r="O52" i="6" s="1"/>
  <c r="Y15" i="6"/>
  <c r="Y53" i="6" s="1"/>
  <c r="R14" i="6"/>
  <c r="R52" i="6" s="1"/>
  <c r="T53" i="6"/>
  <c r="Y52" i="6"/>
  <c r="N15" i="6"/>
  <c r="N53" i="6" s="1"/>
  <c r="U51" i="6"/>
  <c r="W17" i="6"/>
  <c r="W55" i="6" s="1"/>
  <c r="O51" i="6"/>
  <c r="M15" i="6"/>
  <c r="L16" i="6"/>
  <c r="L54" i="6" s="1"/>
  <c r="K15" i="6"/>
  <c r="J16" i="6"/>
  <c r="J54" i="6" s="1"/>
  <c r="I15" i="6"/>
  <c r="I53" i="6" s="1"/>
  <c r="I52" i="6"/>
  <c r="G15" i="6"/>
  <c r="G53" i="6" s="1"/>
  <c r="G52" i="6"/>
  <c r="F16" i="6"/>
  <c r="E15" i="6"/>
  <c r="E53" i="6" s="1"/>
  <c r="D16" i="6"/>
  <c r="C15" i="6"/>
  <c r="C53" i="6" s="1"/>
  <c r="B16" i="6"/>
  <c r="B54" i="6" s="1"/>
  <c r="B53" i="6"/>
  <c r="AD13" i="6" l="1"/>
  <c r="AD14" i="6" s="1"/>
  <c r="AD51" i="6"/>
  <c r="AN52" i="6"/>
  <c r="AN15" i="6"/>
  <c r="AN16" i="6" s="1"/>
  <c r="AN54" i="6" s="1"/>
  <c r="AG15" i="6"/>
  <c r="AG51" i="6"/>
  <c r="AK13" i="6"/>
  <c r="AK14" i="6" s="1"/>
  <c r="AK51" i="6"/>
  <c r="AH15" i="6"/>
  <c r="AN53" i="6"/>
  <c r="AE51" i="6"/>
  <c r="AE14" i="6"/>
  <c r="AD50" i="6"/>
  <c r="AN51" i="6"/>
  <c r="AK50" i="6"/>
  <c r="AH51" i="6"/>
  <c r="CI18" i="6"/>
  <c r="CI56" i="6" s="1"/>
  <c r="CI19" i="6" a="1"/>
  <c r="CI55" i="6"/>
  <c r="CH18" i="6"/>
  <c r="CH56" i="6" s="1"/>
  <c r="CH19" i="6" a="1"/>
  <c r="CH55" i="6"/>
  <c r="CG18" i="6"/>
  <c r="CG56" i="6" s="1"/>
  <c r="CG19" i="6" a="1"/>
  <c r="CG55" i="6"/>
  <c r="CF18" i="6"/>
  <c r="CF56" i="6" s="1"/>
  <c r="CF19" i="6" a="1"/>
  <c r="CF55" i="6"/>
  <c r="CE18" i="6"/>
  <c r="CE56" i="6" s="1"/>
  <c r="CE20" i="6"/>
  <c r="CE21" i="6"/>
  <c r="CE25" i="6"/>
  <c r="CE29" i="6"/>
  <c r="CE22" i="6"/>
  <c r="CE26" i="6"/>
  <c r="CE30" i="6"/>
  <c r="CE19" i="6"/>
  <c r="CE32" i="6" s="1"/>
  <c r="CE23" i="6"/>
  <c r="CE27" i="6"/>
  <c r="CE24" i="6"/>
  <c r="CE28" i="6"/>
  <c r="CE55" i="6"/>
  <c r="CD17" i="6"/>
  <c r="CD54" i="6"/>
  <c r="AJ13" i="6"/>
  <c r="AJ51" i="6" s="1"/>
  <c r="AI13" i="6"/>
  <c r="AI51" i="6" s="1"/>
  <c r="H13" i="6"/>
  <c r="H51" i="6" s="1"/>
  <c r="CC16" i="6"/>
  <c r="CC54" i="6" s="1"/>
  <c r="CC53" i="6"/>
  <c r="CB16" i="6"/>
  <c r="CB54" i="6" s="1"/>
  <c r="CB53" i="6"/>
  <c r="CA16" i="6"/>
  <c r="CA53" i="6"/>
  <c r="BZ16" i="6"/>
  <c r="BZ53" i="6"/>
  <c r="BY16" i="6"/>
  <c r="BY54" i="6" s="1"/>
  <c r="BX16" i="6"/>
  <c r="BX53" i="6"/>
  <c r="BW16" i="6"/>
  <c r="BW53" i="6"/>
  <c r="BV16" i="6"/>
  <c r="BV53" i="6"/>
  <c r="BU16" i="6"/>
  <c r="BU53" i="6"/>
  <c r="BT16" i="6"/>
  <c r="BT53" i="6"/>
  <c r="BS16" i="6"/>
  <c r="BS53" i="6"/>
  <c r="BR16" i="6"/>
  <c r="BR53" i="6"/>
  <c r="BQ16" i="6"/>
  <c r="BQ53" i="6"/>
  <c r="BP16" i="6"/>
  <c r="BP53" i="6"/>
  <c r="BO16" i="6"/>
  <c r="BO53" i="6"/>
  <c r="BN16" i="6"/>
  <c r="BN53" i="6"/>
  <c r="BM16" i="6"/>
  <c r="BM54" i="6" s="1"/>
  <c r="BM53" i="6"/>
  <c r="BL16" i="6"/>
  <c r="BL53" i="6"/>
  <c r="BK16" i="6"/>
  <c r="BK54" i="6" s="1"/>
  <c r="BJ16" i="6"/>
  <c r="BJ53" i="6"/>
  <c r="BI16" i="6"/>
  <c r="BI53" i="6"/>
  <c r="BH16" i="6"/>
  <c r="BH54" i="6" s="1"/>
  <c r="BH53" i="6"/>
  <c r="BG17" i="6"/>
  <c r="BF16" i="6"/>
  <c r="BE16" i="6"/>
  <c r="BE54" i="6" s="1"/>
  <c r="BE53" i="6"/>
  <c r="BD16" i="6"/>
  <c r="BD53" i="6"/>
  <c r="BC16" i="6"/>
  <c r="BC53" i="6"/>
  <c r="BB16" i="6"/>
  <c r="BB53" i="6"/>
  <c r="BA16" i="6"/>
  <c r="BA54" i="6" s="1"/>
  <c r="BA53" i="6"/>
  <c r="AZ17" i="6"/>
  <c r="AY16" i="6"/>
  <c r="AY53" i="6"/>
  <c r="AX16" i="6"/>
  <c r="AX53" i="6"/>
  <c r="AW16" i="6"/>
  <c r="AW53" i="6"/>
  <c r="AV16" i="6"/>
  <c r="AV54" i="6" s="1"/>
  <c r="AV53" i="6"/>
  <c r="AU16" i="6"/>
  <c r="AU54" i="6" s="1"/>
  <c r="AU53" i="6"/>
  <c r="AT16" i="6"/>
  <c r="AT53" i="6"/>
  <c r="AS16" i="6"/>
  <c r="AS54" i="6" s="1"/>
  <c r="AR16" i="6"/>
  <c r="AR53" i="6"/>
  <c r="AQ16" i="6"/>
  <c r="AP16" i="6"/>
  <c r="AP53" i="6"/>
  <c r="AO16" i="6"/>
  <c r="AO54" i="6" s="1"/>
  <c r="AO53" i="6"/>
  <c r="AN17" i="6"/>
  <c r="AN55" i="6" s="1"/>
  <c r="AM16" i="6"/>
  <c r="AM54" i="6" s="1"/>
  <c r="AM53" i="6"/>
  <c r="AL16" i="6"/>
  <c r="AL53" i="6"/>
  <c r="AH16" i="6"/>
  <c r="AH53" i="6"/>
  <c r="AG16" i="6"/>
  <c r="AG53" i="6"/>
  <c r="AF17" i="6"/>
  <c r="AF55" i="6" s="1"/>
  <c r="AC17" i="6"/>
  <c r="AC54" i="6"/>
  <c r="AB17" i="6"/>
  <c r="AB55" i="6" s="1"/>
  <c r="AA16" i="6"/>
  <c r="AA84" i="6" s="1"/>
  <c r="AA83" i="6"/>
  <c r="Z16" i="6"/>
  <c r="Z54" i="6" s="1"/>
  <c r="U15" i="6"/>
  <c r="Q16" i="6"/>
  <c r="Q54" i="6" s="1"/>
  <c r="R15" i="6"/>
  <c r="O15" i="6"/>
  <c r="V16" i="6"/>
  <c r="V54" i="6" s="1"/>
  <c r="X17" i="6"/>
  <c r="X55" i="6" s="1"/>
  <c r="Q53" i="6"/>
  <c r="V53" i="6"/>
  <c r="X54" i="6"/>
  <c r="P16" i="6"/>
  <c r="P54" i="6" s="1"/>
  <c r="W18" i="6"/>
  <c r="W56" i="6" s="1"/>
  <c r="W19" i="6" a="1"/>
  <c r="N16" i="6"/>
  <c r="Y16" i="6"/>
  <c r="U52" i="6"/>
  <c r="T17" i="6"/>
  <c r="T55" i="6" s="1"/>
  <c r="S16" i="6"/>
  <c r="P53" i="6"/>
  <c r="M16" i="6"/>
  <c r="M53" i="6"/>
  <c r="L17" i="6"/>
  <c r="L19" i="6" s="1" a="1"/>
  <c r="K16" i="6"/>
  <c r="K54" i="6" s="1"/>
  <c r="K53" i="6"/>
  <c r="J17" i="6"/>
  <c r="J55" i="6" s="1"/>
  <c r="I16" i="6"/>
  <c r="I54" i="6" s="1"/>
  <c r="G16" i="6"/>
  <c r="F17" i="6"/>
  <c r="F19" i="6" s="1" a="1"/>
  <c r="F54" i="6"/>
  <c r="E16" i="6"/>
  <c r="E54" i="6" s="1"/>
  <c r="D17" i="6"/>
  <c r="D55" i="6" s="1"/>
  <c r="D54" i="6"/>
  <c r="C16" i="6"/>
  <c r="C54" i="6" s="1"/>
  <c r="B17" i="6"/>
  <c r="AE52" i="6" l="1"/>
  <c r="AE15" i="6"/>
  <c r="AN19" i="6" a="1"/>
  <c r="AN27" i="6" s="1"/>
  <c r="AK52" i="6"/>
  <c r="AK15" i="6"/>
  <c r="AD52" i="6"/>
  <c r="AD15" i="6"/>
  <c r="CI22" i="6"/>
  <c r="CI26" i="6"/>
  <c r="CI30" i="6"/>
  <c r="CI19" i="6"/>
  <c r="CI32" i="6" s="1"/>
  <c r="CI23" i="6"/>
  <c r="CI27" i="6"/>
  <c r="CI24" i="6"/>
  <c r="CI28" i="6"/>
  <c r="CI20" i="6"/>
  <c r="CI21" i="6"/>
  <c r="CI25" i="6"/>
  <c r="CI29" i="6"/>
  <c r="CH19" i="6"/>
  <c r="CH32" i="6" s="1"/>
  <c r="CH23" i="6"/>
  <c r="CH27" i="6"/>
  <c r="CH20" i="6"/>
  <c r="CH24" i="6"/>
  <c r="CH28" i="6"/>
  <c r="CH21" i="6"/>
  <c r="CH25" i="6"/>
  <c r="CH29" i="6"/>
  <c r="CH22" i="6"/>
  <c r="CH26" i="6"/>
  <c r="CH30" i="6"/>
  <c r="CG19" i="6"/>
  <c r="CG32" i="6" s="1"/>
  <c r="CG23" i="6"/>
  <c r="CG27" i="6"/>
  <c r="CG20" i="6"/>
  <c r="CG24" i="6"/>
  <c r="CG28" i="6"/>
  <c r="CG22" i="6"/>
  <c r="CG21" i="6"/>
  <c r="CG25" i="6"/>
  <c r="CG29" i="6"/>
  <c r="CG26" i="6"/>
  <c r="CG30" i="6"/>
  <c r="CF19" i="6"/>
  <c r="CF32" i="6" s="1"/>
  <c r="CF23" i="6"/>
  <c r="CF27" i="6"/>
  <c r="CF20" i="6"/>
  <c r="CF24" i="6"/>
  <c r="CF28" i="6"/>
  <c r="CF21" i="6"/>
  <c r="CF25" i="6"/>
  <c r="CF29" i="6"/>
  <c r="CF22" i="6"/>
  <c r="CF26" i="6"/>
  <c r="CF30" i="6"/>
  <c r="CE33" i="6"/>
  <c r="CE34" i="6" s="1"/>
  <c r="CE35" i="6" s="1"/>
  <c r="CE36" i="6" s="1"/>
  <c r="CE37" i="6" s="1"/>
  <c r="CE38" i="6" s="1"/>
  <c r="CE39" i="6" s="1"/>
  <c r="CE40" i="6" s="1"/>
  <c r="CE41" i="6" s="1"/>
  <c r="CE42" i="6" s="1"/>
  <c r="CE43" i="6" s="1"/>
  <c r="CD18" i="6"/>
  <c r="CD56" i="6" s="1"/>
  <c r="CD19" i="6" a="1"/>
  <c r="CD55" i="6"/>
  <c r="H14" i="6"/>
  <c r="AI14" i="6"/>
  <c r="AI52" i="6" s="1"/>
  <c r="AJ14" i="6"/>
  <c r="AJ52" i="6"/>
  <c r="CC17" i="6"/>
  <c r="CB17" i="6"/>
  <c r="CA17" i="6"/>
  <c r="CA54" i="6"/>
  <c r="BZ17" i="6"/>
  <c r="BZ55" i="6" s="1"/>
  <c r="BZ54" i="6"/>
  <c r="BY17" i="6"/>
  <c r="BX17" i="6"/>
  <c r="BX54" i="6"/>
  <c r="BW17" i="6"/>
  <c r="BW54" i="6"/>
  <c r="BV17" i="6"/>
  <c r="BV54" i="6"/>
  <c r="BU17" i="6"/>
  <c r="BU54" i="6"/>
  <c r="BT17" i="6"/>
  <c r="BT54" i="6"/>
  <c r="BS17" i="6"/>
  <c r="BS54" i="6"/>
  <c r="BR17" i="6"/>
  <c r="BR54" i="6"/>
  <c r="BQ17" i="6"/>
  <c r="BQ54" i="6"/>
  <c r="BP17" i="6"/>
  <c r="BP54" i="6"/>
  <c r="BO17" i="6"/>
  <c r="BO54" i="6"/>
  <c r="BN17" i="6"/>
  <c r="BN54" i="6"/>
  <c r="BM17" i="6"/>
  <c r="BL17" i="6"/>
  <c r="BL54" i="6"/>
  <c r="BK17" i="6"/>
  <c r="BJ17" i="6"/>
  <c r="BJ54" i="6"/>
  <c r="BI17" i="6"/>
  <c r="BI54" i="6"/>
  <c r="BH17" i="6"/>
  <c r="BH55" i="6" s="1"/>
  <c r="BG18" i="6"/>
  <c r="BG56" i="6" s="1"/>
  <c r="BG19" i="6" a="1"/>
  <c r="BG55" i="6"/>
  <c r="BF17" i="6"/>
  <c r="BF54" i="6"/>
  <c r="BE17" i="6"/>
  <c r="BE55" i="6" s="1"/>
  <c r="BD17" i="6"/>
  <c r="BD54" i="6"/>
  <c r="BC17" i="6"/>
  <c r="BC54" i="6"/>
  <c r="BB17" i="6"/>
  <c r="BB54" i="6"/>
  <c r="BA17" i="6"/>
  <c r="BA55" i="6" s="1"/>
  <c r="AZ18" i="6"/>
  <c r="AZ56" i="6" s="1"/>
  <c r="AZ19" i="6" a="1"/>
  <c r="AZ55" i="6"/>
  <c r="AY17" i="6"/>
  <c r="AY54" i="6"/>
  <c r="AX17" i="6"/>
  <c r="AX55" i="6" s="1"/>
  <c r="AX54" i="6"/>
  <c r="AW17" i="6"/>
  <c r="AW55" i="6"/>
  <c r="AW54" i="6"/>
  <c r="AV17" i="6"/>
  <c r="AU17" i="6"/>
  <c r="AU55" i="6"/>
  <c r="AT17" i="6"/>
  <c r="AT54" i="6"/>
  <c r="AS17" i="6"/>
  <c r="AS55" i="6" s="1"/>
  <c r="AR17" i="6"/>
  <c r="AR55" i="6" s="1"/>
  <c r="AR54" i="6"/>
  <c r="AQ17" i="6"/>
  <c r="AQ55" i="6" s="1"/>
  <c r="AQ54" i="6"/>
  <c r="AP17" i="6"/>
  <c r="AB19" i="6" s="1" a="1"/>
  <c r="AP54" i="6"/>
  <c r="AO17" i="6"/>
  <c r="AO55" i="6" s="1"/>
  <c r="AN18" i="6"/>
  <c r="AN56" i="6" s="1"/>
  <c r="AM17" i="6"/>
  <c r="AL17" i="6"/>
  <c r="AL54" i="6"/>
  <c r="AH17" i="6"/>
  <c r="AH54" i="6"/>
  <c r="AG17" i="6"/>
  <c r="AG54" i="6"/>
  <c r="AF18" i="6"/>
  <c r="AF56" i="6" s="1"/>
  <c r="AF19" i="6" a="1"/>
  <c r="AC18" i="6"/>
  <c r="AC56" i="6" s="1"/>
  <c r="AC19" i="6" a="1"/>
  <c r="AC55" i="6"/>
  <c r="AB18" i="6"/>
  <c r="AB56" i="6" s="1"/>
  <c r="AA17" i="6"/>
  <c r="Z17" i="6"/>
  <c r="Z55" i="6" s="1"/>
  <c r="X19" i="6" a="1"/>
  <c r="X27" i="6" s="1"/>
  <c r="Y17" i="6"/>
  <c r="Y55" i="6"/>
  <c r="R16" i="6"/>
  <c r="N17" i="6"/>
  <c r="O16" i="6"/>
  <c r="R53" i="6"/>
  <c r="U16" i="6"/>
  <c r="U54" i="6" s="1"/>
  <c r="T18" i="6"/>
  <c r="T56" i="6" s="1"/>
  <c r="T19" i="6" a="1"/>
  <c r="W19" i="6"/>
  <c r="W32" i="6" s="1"/>
  <c r="W23" i="6"/>
  <c r="W27" i="6"/>
  <c r="W24" i="6"/>
  <c r="W29" i="6"/>
  <c r="W20" i="6"/>
  <c r="W25" i="6"/>
  <c r="W30" i="6"/>
  <c r="W21" i="6"/>
  <c r="W28" i="6"/>
  <c r="W22" i="6"/>
  <c r="W26" i="6"/>
  <c r="Y54" i="6"/>
  <c r="X18" i="6"/>
  <c r="X56" i="6" s="1"/>
  <c r="S17" i="6"/>
  <c r="S54" i="6"/>
  <c r="N54" i="6"/>
  <c r="P17" i="6"/>
  <c r="V17" i="6"/>
  <c r="V55" i="6" s="1"/>
  <c r="O53" i="6"/>
  <c r="Q17" i="6"/>
  <c r="Q55" i="6" s="1"/>
  <c r="U53" i="6"/>
  <c r="M17" i="6"/>
  <c r="M54" i="6"/>
  <c r="L22" i="6"/>
  <c r="L26" i="6"/>
  <c r="L30" i="6"/>
  <c r="L23" i="6"/>
  <c r="L28" i="6"/>
  <c r="L21" i="6"/>
  <c r="L25" i="6"/>
  <c r="L29" i="6"/>
  <c r="L19" i="6"/>
  <c r="L32" i="6" s="1"/>
  <c r="L27" i="6"/>
  <c r="L20" i="6"/>
  <c r="L24" i="6"/>
  <c r="L18" i="6"/>
  <c r="L56" i="6" s="1"/>
  <c r="L55" i="6"/>
  <c r="K17" i="6"/>
  <c r="K55" i="6" s="1"/>
  <c r="J18" i="6"/>
  <c r="J56" i="6" s="1"/>
  <c r="J19" i="6" a="1"/>
  <c r="I17" i="6"/>
  <c r="G17" i="6"/>
  <c r="G19" i="6" s="1" a="1"/>
  <c r="G54" i="6"/>
  <c r="F22" i="6"/>
  <c r="F26" i="6"/>
  <c r="F30" i="6"/>
  <c r="F23" i="6"/>
  <c r="F24" i="6"/>
  <c r="F21" i="6"/>
  <c r="F25" i="6"/>
  <c r="F29" i="6"/>
  <c r="F19" i="6"/>
  <c r="F32" i="6" s="1"/>
  <c r="F27" i="6"/>
  <c r="F20" i="6"/>
  <c r="F28" i="6"/>
  <c r="F18" i="6"/>
  <c r="F56" i="6" s="1"/>
  <c r="F55" i="6"/>
  <c r="E17" i="6"/>
  <c r="E55" i="6" s="1"/>
  <c r="D19" i="6" a="1"/>
  <c r="D18" i="6"/>
  <c r="D56" i="6" s="1"/>
  <c r="C17" i="6"/>
  <c r="C19" i="6" s="1" a="1"/>
  <c r="B18" i="6"/>
  <c r="B56" i="6" s="1"/>
  <c r="B19" i="6" a="1"/>
  <c r="B55" i="6"/>
  <c r="AN20" i="6" l="1"/>
  <c r="AN25" i="6"/>
  <c r="AN30" i="6"/>
  <c r="AN23" i="6"/>
  <c r="AN21" i="6"/>
  <c r="AN26" i="6"/>
  <c r="AD53" i="6"/>
  <c r="AD16" i="6"/>
  <c r="AN19" i="6"/>
  <c r="AN32" i="6" s="1"/>
  <c r="AN33" i="6" s="1"/>
  <c r="AN34" i="6" s="1"/>
  <c r="AN35" i="6" s="1"/>
  <c r="AN36" i="6" s="1"/>
  <c r="AN37" i="6" s="1"/>
  <c r="AN38" i="6" s="1"/>
  <c r="AN39" i="6" s="1"/>
  <c r="AN40" i="6" s="1"/>
  <c r="AN41" i="6" s="1"/>
  <c r="AN42" i="6" s="1"/>
  <c r="AN43" i="6" s="1"/>
  <c r="AN24" i="6"/>
  <c r="AN22" i="6"/>
  <c r="AE16" i="6"/>
  <c r="AE53" i="6"/>
  <c r="AN28" i="6"/>
  <c r="AN29" i="6"/>
  <c r="AK53" i="6"/>
  <c r="AK16" i="6"/>
  <c r="CI33" i="6"/>
  <c r="CI34" i="6" s="1"/>
  <c r="CI35" i="6" s="1"/>
  <c r="CI36" i="6" s="1"/>
  <c r="CI37" i="6" s="1"/>
  <c r="CI38" i="6" s="1"/>
  <c r="CI39" i="6" s="1"/>
  <c r="CI40" i="6" s="1"/>
  <c r="CI41" i="6" s="1"/>
  <c r="CI42" i="6" s="1"/>
  <c r="CI43" i="6" s="1"/>
  <c r="CH33" i="6"/>
  <c r="CH34" i="6" s="1"/>
  <c r="CH35" i="6" s="1"/>
  <c r="CH36" i="6" s="1"/>
  <c r="CH37" i="6" s="1"/>
  <c r="CH38" i="6" s="1"/>
  <c r="CH39" i="6" s="1"/>
  <c r="CH40" i="6" s="1"/>
  <c r="CH41" i="6" s="1"/>
  <c r="CH42" i="6" s="1"/>
  <c r="CH43" i="6" s="1"/>
  <c r="CG33" i="6"/>
  <c r="CG34" i="6" s="1"/>
  <c r="CG35" i="6" s="1"/>
  <c r="CG36" i="6" s="1"/>
  <c r="CG37" i="6" s="1"/>
  <c r="CG38" i="6" s="1"/>
  <c r="CG39" i="6" s="1"/>
  <c r="CG40" i="6" s="1"/>
  <c r="CG41" i="6" s="1"/>
  <c r="CG42" i="6" s="1"/>
  <c r="CG43" i="6" s="1"/>
  <c r="CF33" i="6"/>
  <c r="CF34" i="6" s="1"/>
  <c r="CF35" i="6" s="1"/>
  <c r="CF36" i="6" s="1"/>
  <c r="CF37" i="6" s="1"/>
  <c r="CF38" i="6" s="1"/>
  <c r="CF39" i="6" s="1"/>
  <c r="CF40" i="6" s="1"/>
  <c r="CF41" i="6" s="1"/>
  <c r="CF42" i="6" s="1"/>
  <c r="CF43" i="6" s="1"/>
  <c r="F33" i="6"/>
  <c r="F34" i="6"/>
  <c r="F35" i="6" s="1"/>
  <c r="F36" i="6" s="1"/>
  <c r="F37" i="6" s="1"/>
  <c r="F38" i="6" s="1"/>
  <c r="F39" i="6" s="1"/>
  <c r="F40" i="6" s="1"/>
  <c r="F41" i="6" s="1"/>
  <c r="F42" i="6" s="1"/>
  <c r="F43" i="6" s="1"/>
  <c r="K19" i="6" a="1"/>
  <c r="K25" i="6" s="1"/>
  <c r="CD22" i="6"/>
  <c r="CD26" i="6"/>
  <c r="CD30" i="6"/>
  <c r="CD19" i="6"/>
  <c r="CD32" i="6" s="1"/>
  <c r="CD23" i="6"/>
  <c r="CD27" i="6"/>
  <c r="CD20" i="6"/>
  <c r="CD24" i="6"/>
  <c r="CD28" i="6"/>
  <c r="CD21" i="6"/>
  <c r="CD25" i="6"/>
  <c r="CD29" i="6"/>
  <c r="AI15" i="6"/>
  <c r="AI53" i="6" s="1"/>
  <c r="H15" i="6"/>
  <c r="H53" i="6" s="1"/>
  <c r="AJ15" i="6"/>
  <c r="AJ53" i="6" s="1"/>
  <c r="H52" i="6"/>
  <c r="CC18" i="6"/>
  <c r="CC56" i="6" s="1"/>
  <c r="CC19" i="6" a="1"/>
  <c r="CC55" i="6"/>
  <c r="CB18" i="6"/>
  <c r="CB56" i="6" s="1"/>
  <c r="CB19" i="6" a="1"/>
  <c r="CB55" i="6"/>
  <c r="CA18" i="6"/>
  <c r="CA56" i="6" s="1"/>
  <c r="CA19" i="6" a="1"/>
  <c r="CA55" i="6"/>
  <c r="BZ18" i="6"/>
  <c r="BZ56" i="6" s="1"/>
  <c r="BZ19" i="6" a="1"/>
  <c r="BY18" i="6"/>
  <c r="BY56" i="6" s="1"/>
  <c r="BY19" i="6" a="1"/>
  <c r="BY55" i="6"/>
  <c r="BX18" i="6"/>
  <c r="BX56" i="6" s="1"/>
  <c r="BX19" i="6" a="1"/>
  <c r="BX55" i="6"/>
  <c r="BW18" i="6"/>
  <c r="BW56" i="6" s="1"/>
  <c r="BW19" i="6" a="1"/>
  <c r="BW55" i="6"/>
  <c r="BV18" i="6"/>
  <c r="BV56" i="6" s="1"/>
  <c r="BV19" i="6" a="1"/>
  <c r="BV55" i="6"/>
  <c r="BU18" i="6"/>
  <c r="BU56" i="6" s="1"/>
  <c r="BU19" i="6" a="1"/>
  <c r="BU55" i="6"/>
  <c r="BT18" i="6"/>
  <c r="BT56" i="6" s="1"/>
  <c r="BT19" i="6" a="1"/>
  <c r="BT55" i="6"/>
  <c r="BS18" i="6"/>
  <c r="BS56" i="6" s="1"/>
  <c r="BS19" i="6" a="1"/>
  <c r="BS55" i="6"/>
  <c r="BR18" i="6"/>
  <c r="BR56" i="6" s="1"/>
  <c r="BR19" i="6" a="1"/>
  <c r="BR55" i="6"/>
  <c r="BQ18" i="6"/>
  <c r="BQ56" i="6" s="1"/>
  <c r="BQ19" i="6" a="1"/>
  <c r="BQ55" i="6"/>
  <c r="BP18" i="6"/>
  <c r="BP56" i="6" s="1"/>
  <c r="BP19" i="6" a="1"/>
  <c r="BP55" i="6"/>
  <c r="BO18" i="6"/>
  <c r="BO56" i="6" s="1"/>
  <c r="BO19" i="6" a="1"/>
  <c r="BO55" i="6"/>
  <c r="BN18" i="6"/>
  <c r="BN56" i="6" s="1"/>
  <c r="BN19" i="6" a="1"/>
  <c r="BN55" i="6"/>
  <c r="BM18" i="6"/>
  <c r="BM56" i="6" s="1"/>
  <c r="BM19" i="6" a="1"/>
  <c r="BM55" i="6"/>
  <c r="BL18" i="6"/>
  <c r="BL56" i="6" s="1"/>
  <c r="BL19" i="6" a="1"/>
  <c r="BL55" i="6"/>
  <c r="BK18" i="6"/>
  <c r="BK56" i="6" s="1"/>
  <c r="BK19" i="6" a="1"/>
  <c r="BK55" i="6"/>
  <c r="BJ18" i="6"/>
  <c r="BJ56" i="6" s="1"/>
  <c r="BJ19" i="6" a="1"/>
  <c r="BJ55" i="6"/>
  <c r="BI18" i="6"/>
  <c r="BI56" i="6" s="1"/>
  <c r="BI19" i="6" a="1"/>
  <c r="BI55" i="6"/>
  <c r="BH18" i="6"/>
  <c r="BH56" i="6" s="1"/>
  <c r="BH19" i="6" a="1"/>
  <c r="BG24" i="6"/>
  <c r="BG21" i="6"/>
  <c r="BG25" i="6"/>
  <c r="BG29" i="6"/>
  <c r="BG22" i="6"/>
  <c r="BG26" i="6"/>
  <c r="BG30" i="6"/>
  <c r="BG19" i="6"/>
  <c r="BG32" i="6" s="1"/>
  <c r="BG23" i="6"/>
  <c r="BG27" i="6"/>
  <c r="BG20" i="6"/>
  <c r="BG28" i="6"/>
  <c r="BF18" i="6"/>
  <c r="BF56" i="6" s="1"/>
  <c r="BF19" i="6" a="1"/>
  <c r="BF55" i="6"/>
  <c r="BE18" i="6"/>
  <c r="BE56" i="6" s="1"/>
  <c r="BE19" i="6" a="1"/>
  <c r="BD18" i="6"/>
  <c r="BD56" i="6" s="1"/>
  <c r="BD19" i="6" a="1"/>
  <c r="BD55" i="6"/>
  <c r="BC18" i="6"/>
  <c r="BC56" i="6" s="1"/>
  <c r="BC19" i="6" a="1"/>
  <c r="BC55" i="6"/>
  <c r="BB18" i="6"/>
  <c r="BB56" i="6" s="1"/>
  <c r="BB19" i="6" a="1"/>
  <c r="BB55" i="6"/>
  <c r="BA18" i="6"/>
  <c r="BA56" i="6" s="1"/>
  <c r="BA19" i="6" a="1"/>
  <c r="AZ20" i="6"/>
  <c r="AZ21" i="6"/>
  <c r="AZ25" i="6"/>
  <c r="AZ29" i="6"/>
  <c r="AZ22" i="6"/>
  <c r="AZ26" i="6"/>
  <c r="AZ30" i="6"/>
  <c r="AZ19" i="6"/>
  <c r="AZ32" i="6" s="1"/>
  <c r="AZ23" i="6"/>
  <c r="AZ27" i="6"/>
  <c r="AZ24" i="6"/>
  <c r="AZ28" i="6"/>
  <c r="AY18" i="6"/>
  <c r="AY56" i="6" s="1"/>
  <c r="AY19" i="6" a="1"/>
  <c r="AY55" i="6"/>
  <c r="AX18" i="6"/>
  <c r="AX56" i="6" s="1"/>
  <c r="AX19" i="6" a="1"/>
  <c r="AW18" i="6"/>
  <c r="AW56" i="6" s="1"/>
  <c r="AW19" i="6" a="1"/>
  <c r="AV18" i="6"/>
  <c r="AV56" i="6" s="1"/>
  <c r="AV19" i="6" a="1"/>
  <c r="AV55" i="6"/>
  <c r="AU18" i="6"/>
  <c r="AU56" i="6" s="1"/>
  <c r="AU19" i="6" a="1"/>
  <c r="AT18" i="6"/>
  <c r="AT56" i="6" s="1"/>
  <c r="AT19" i="6" a="1"/>
  <c r="AT55" i="6"/>
  <c r="AS18" i="6"/>
  <c r="AS56" i="6" s="1"/>
  <c r="AS19" i="6" a="1"/>
  <c r="AR18" i="6"/>
  <c r="AR56" i="6" s="1"/>
  <c r="AR19" i="6" a="1"/>
  <c r="AQ18" i="6"/>
  <c r="AQ56" i="6" s="1"/>
  <c r="AQ19" i="6" a="1"/>
  <c r="AP18" i="6"/>
  <c r="AP56" i="6" s="1"/>
  <c r="AP19" i="6" a="1"/>
  <c r="AP55" i="6"/>
  <c r="AO18" i="6"/>
  <c r="AO56" i="6" s="1"/>
  <c r="AO19" i="6" a="1"/>
  <c r="AM18" i="6"/>
  <c r="AM56" i="6" s="1"/>
  <c r="AM19" i="6" a="1"/>
  <c r="AM55" i="6"/>
  <c r="AL18" i="6"/>
  <c r="AL56" i="6" s="1"/>
  <c r="AL19" i="6" a="1"/>
  <c r="AL55" i="6"/>
  <c r="AH18" i="6"/>
  <c r="AH56" i="6" s="1"/>
  <c r="AH19" i="6" a="1"/>
  <c r="AH55" i="6"/>
  <c r="AG18" i="6"/>
  <c r="AG56" i="6" s="1"/>
  <c r="AG19" i="6" a="1"/>
  <c r="AG55" i="6"/>
  <c r="AF22" i="6"/>
  <c r="AF26" i="6"/>
  <c r="AF30" i="6"/>
  <c r="AF20" i="6"/>
  <c r="AF24" i="6"/>
  <c r="AF21" i="6"/>
  <c r="AF25" i="6"/>
  <c r="AF29" i="6"/>
  <c r="AF19" i="6"/>
  <c r="AF32" i="6" s="1"/>
  <c r="AF23" i="6"/>
  <c r="AF27" i="6"/>
  <c r="AF28" i="6"/>
  <c r="AC21" i="6"/>
  <c r="AC25" i="6"/>
  <c r="AC29" i="6"/>
  <c r="AC22" i="6"/>
  <c r="AC26" i="6"/>
  <c r="AC30" i="6"/>
  <c r="AC19" i="6"/>
  <c r="AC32" i="6" s="1"/>
  <c r="AC23" i="6"/>
  <c r="AC27" i="6"/>
  <c r="AC20" i="6"/>
  <c r="AC24" i="6"/>
  <c r="AC28" i="6"/>
  <c r="AB19" i="6"/>
  <c r="AB32" i="6" s="1"/>
  <c r="AB23" i="6"/>
  <c r="AB27" i="6"/>
  <c r="AB20" i="6"/>
  <c r="AB21" i="6"/>
  <c r="AB25" i="6"/>
  <c r="AB29" i="6"/>
  <c r="AB22" i="6"/>
  <c r="AB26" i="6"/>
  <c r="AB30" i="6"/>
  <c r="AB24" i="6"/>
  <c r="AB28" i="6"/>
  <c r="AA18" i="6"/>
  <c r="AA86" i="6" s="1"/>
  <c r="AA85" i="6"/>
  <c r="Z18" i="6"/>
  <c r="Z56" i="6" s="1"/>
  <c r="X21" i="6"/>
  <c r="X28" i="6"/>
  <c r="X23" i="6"/>
  <c r="X24" i="6"/>
  <c r="X20" i="6"/>
  <c r="X19" i="6"/>
  <c r="X32" i="6" s="1"/>
  <c r="X30" i="6"/>
  <c r="X25" i="6"/>
  <c r="X22" i="6"/>
  <c r="X26" i="6"/>
  <c r="X29" i="6"/>
  <c r="R17" i="6"/>
  <c r="Q18" i="6"/>
  <c r="Q56" i="6" s="1"/>
  <c r="Q19" i="6" a="1"/>
  <c r="S18" i="6"/>
  <c r="S56" i="6" s="1"/>
  <c r="S19" i="6" a="1"/>
  <c r="W33" i="6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T19" i="6"/>
  <c r="T32" i="6" s="1"/>
  <c r="T23" i="6"/>
  <c r="T27" i="6"/>
  <c r="T22" i="6"/>
  <c r="T28" i="6"/>
  <c r="T24" i="6"/>
  <c r="T29" i="6"/>
  <c r="T20" i="6"/>
  <c r="T30" i="6"/>
  <c r="T21" i="6"/>
  <c r="T25" i="6"/>
  <c r="T26" i="6"/>
  <c r="N18" i="6"/>
  <c r="N56" i="6" s="1"/>
  <c r="N19" i="6" a="1"/>
  <c r="O17" i="6"/>
  <c r="O55" i="6" s="1"/>
  <c r="P18" i="6"/>
  <c r="P56" i="6" s="1"/>
  <c r="P19" i="6" a="1"/>
  <c r="U17" i="6"/>
  <c r="U55" i="6" s="1"/>
  <c r="O54" i="6"/>
  <c r="R54" i="6"/>
  <c r="P55" i="6"/>
  <c r="S55" i="6"/>
  <c r="V18" i="6"/>
  <c r="V56" i="6" s="1"/>
  <c r="V19" i="6" a="1"/>
  <c r="N55" i="6"/>
  <c r="Y18" i="6"/>
  <c r="Y56" i="6" s="1"/>
  <c r="Y19" i="6" a="1"/>
  <c r="M18" i="6"/>
  <c r="M56" i="6" s="1"/>
  <c r="M19" i="6" a="1"/>
  <c r="M55" i="6"/>
  <c r="L33" i="6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K21" i="6"/>
  <c r="K20" i="6"/>
  <c r="K18" i="6"/>
  <c r="K56" i="6" s="1"/>
  <c r="J22" i="6"/>
  <c r="J26" i="6"/>
  <c r="J30" i="6"/>
  <c r="J24" i="6"/>
  <c r="J21" i="6"/>
  <c r="J25" i="6"/>
  <c r="J29" i="6"/>
  <c r="J19" i="6"/>
  <c r="J32" i="6" s="1"/>
  <c r="J23" i="6"/>
  <c r="J27" i="6"/>
  <c r="J20" i="6"/>
  <c r="J28" i="6"/>
  <c r="I18" i="6"/>
  <c r="I56" i="6" s="1"/>
  <c r="I19" i="6" a="1"/>
  <c r="I55" i="6"/>
  <c r="G19" i="6"/>
  <c r="G32" i="6" s="1"/>
  <c r="G23" i="6"/>
  <c r="G27" i="6"/>
  <c r="G20" i="6"/>
  <c r="G24" i="6"/>
  <c r="G28" i="6"/>
  <c r="G21" i="6"/>
  <c r="G25" i="6"/>
  <c r="G29" i="6"/>
  <c r="G22" i="6"/>
  <c r="G26" i="6"/>
  <c r="G30" i="6"/>
  <c r="G18" i="6"/>
  <c r="G56" i="6" s="1"/>
  <c r="G55" i="6"/>
  <c r="E18" i="6"/>
  <c r="E56" i="6" s="1"/>
  <c r="E19" i="6" a="1"/>
  <c r="D22" i="6"/>
  <c r="D26" i="6"/>
  <c r="D30" i="6"/>
  <c r="D19" i="6"/>
  <c r="D32" i="6" s="1"/>
  <c r="D23" i="6"/>
  <c r="D24" i="6"/>
  <c r="D21" i="6"/>
  <c r="D25" i="6"/>
  <c r="D29" i="6"/>
  <c r="D27" i="6"/>
  <c r="D20" i="6"/>
  <c r="D28" i="6"/>
  <c r="C19" i="6"/>
  <c r="C32" i="6" s="1"/>
  <c r="C23" i="6"/>
  <c r="C27" i="6"/>
  <c r="C20" i="6"/>
  <c r="C24" i="6"/>
  <c r="C28" i="6"/>
  <c r="C21" i="6"/>
  <c r="C25" i="6"/>
  <c r="C29" i="6"/>
  <c r="C22" i="6"/>
  <c r="C26" i="6"/>
  <c r="C30" i="6"/>
  <c r="C18" i="6"/>
  <c r="C56" i="6" s="1"/>
  <c r="C55" i="6"/>
  <c r="B21" i="6"/>
  <c r="B25" i="6"/>
  <c r="B29" i="6"/>
  <c r="B22" i="6"/>
  <c r="B26" i="6"/>
  <c r="B30" i="6"/>
  <c r="B19" i="6"/>
  <c r="B32" i="6" s="1"/>
  <c r="B23" i="6"/>
  <c r="B27" i="6"/>
  <c r="B20" i="6"/>
  <c r="B24" i="6"/>
  <c r="B28" i="6"/>
  <c r="AK17" i="6" l="1"/>
  <c r="AK54" i="6"/>
  <c r="K23" i="6"/>
  <c r="K22" i="6"/>
  <c r="AK19" i="6" a="1"/>
  <c r="AK26" i="6" s="1"/>
  <c r="AE17" i="6"/>
  <c r="AE54" i="6"/>
  <c r="AD54" i="6"/>
  <c r="AD17" i="6"/>
  <c r="K30" i="6"/>
  <c r="K29" i="6"/>
  <c r="AE55" i="6"/>
  <c r="C33" i="6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J33" i="6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AC33" i="6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K27" i="6"/>
  <c r="K26" i="6"/>
  <c r="K24" i="6"/>
  <c r="K28" i="6"/>
  <c r="K19" i="6"/>
  <c r="K32" i="6" s="1"/>
  <c r="K33" i="6" s="1"/>
  <c r="K34" i="6" s="1"/>
  <c r="K35" i="6" s="1"/>
  <c r="K36" i="6" s="1"/>
  <c r="D33" i="6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AZ33" i="6"/>
  <c r="AZ34" i="6" s="1"/>
  <c r="AZ35" i="6" s="1"/>
  <c r="AZ36" i="6" s="1"/>
  <c r="AZ37" i="6" s="1"/>
  <c r="AZ38" i="6" s="1"/>
  <c r="AZ39" i="6" s="1"/>
  <c r="AZ40" i="6" s="1"/>
  <c r="AZ41" i="6" s="1"/>
  <c r="AZ42" i="6" s="1"/>
  <c r="AZ43" i="6" s="1"/>
  <c r="B33" i="6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CD33" i="6"/>
  <c r="CD34" i="6" s="1"/>
  <c r="CD35" i="6" s="1"/>
  <c r="CD36" i="6" s="1"/>
  <c r="CD37" i="6" s="1"/>
  <c r="CD38" i="6" s="1"/>
  <c r="CD39" i="6" s="1"/>
  <c r="CD40" i="6" s="1"/>
  <c r="CD41" i="6" s="1"/>
  <c r="CD42" i="6" s="1"/>
  <c r="CD43" i="6" s="1"/>
  <c r="H16" i="6"/>
  <c r="H54" i="6" s="1"/>
  <c r="AJ16" i="6"/>
  <c r="AI16" i="6"/>
  <c r="AI54" i="6" s="1"/>
  <c r="CC22" i="6"/>
  <c r="CC26" i="6"/>
  <c r="CC30" i="6"/>
  <c r="CC21" i="6"/>
  <c r="CC25" i="6"/>
  <c r="CC19" i="6"/>
  <c r="CC32" i="6" s="1"/>
  <c r="CC23" i="6"/>
  <c r="CC27" i="6"/>
  <c r="CC29" i="6"/>
  <c r="CC20" i="6"/>
  <c r="CC24" i="6"/>
  <c r="CC28" i="6"/>
  <c r="CB22" i="6"/>
  <c r="CB26" i="6"/>
  <c r="CB30" i="6"/>
  <c r="CB21" i="6"/>
  <c r="CB25" i="6"/>
  <c r="CB19" i="6"/>
  <c r="CB32" i="6" s="1"/>
  <c r="CB23" i="6"/>
  <c r="CB27" i="6"/>
  <c r="CB20" i="6"/>
  <c r="CB24" i="6"/>
  <c r="CB28" i="6"/>
  <c r="CB29" i="6"/>
  <c r="CA22" i="6"/>
  <c r="CA26" i="6"/>
  <c r="CA30" i="6"/>
  <c r="CA19" i="6"/>
  <c r="CA32" i="6" s="1"/>
  <c r="CA23" i="6"/>
  <c r="CA27" i="6"/>
  <c r="CA20" i="6"/>
  <c r="CA24" i="6"/>
  <c r="CA28" i="6"/>
  <c r="CA21" i="6"/>
  <c r="CA25" i="6"/>
  <c r="CA29" i="6"/>
  <c r="BZ22" i="6"/>
  <c r="BZ26" i="6"/>
  <c r="BZ30" i="6"/>
  <c r="BZ19" i="6"/>
  <c r="BZ32" i="6" s="1"/>
  <c r="BZ23" i="6"/>
  <c r="BZ27" i="6"/>
  <c r="BZ20" i="6"/>
  <c r="BZ24" i="6"/>
  <c r="BZ28" i="6"/>
  <c r="BZ21" i="6"/>
  <c r="BZ25" i="6"/>
  <c r="BZ29" i="6"/>
  <c r="BY22" i="6"/>
  <c r="BY26" i="6"/>
  <c r="BY30" i="6"/>
  <c r="BY19" i="6"/>
  <c r="BY32" i="6" s="1"/>
  <c r="BY23" i="6"/>
  <c r="BY27" i="6"/>
  <c r="BY20" i="6"/>
  <c r="BY24" i="6"/>
  <c r="BY28" i="6"/>
  <c r="BY21" i="6"/>
  <c r="BY25" i="6"/>
  <c r="BY29" i="6"/>
  <c r="BX22" i="6"/>
  <c r="BX26" i="6"/>
  <c r="BX30" i="6"/>
  <c r="BX19" i="6"/>
  <c r="BX32" i="6" s="1"/>
  <c r="BX23" i="6"/>
  <c r="BX27" i="6"/>
  <c r="BX20" i="6"/>
  <c r="BX24" i="6"/>
  <c r="BX28" i="6"/>
  <c r="BX21" i="6"/>
  <c r="BX25" i="6"/>
  <c r="BX29" i="6"/>
  <c r="BW22" i="6"/>
  <c r="BW26" i="6"/>
  <c r="BW30" i="6"/>
  <c r="BW19" i="6"/>
  <c r="BW32" i="6" s="1"/>
  <c r="BW23" i="6"/>
  <c r="BW27" i="6"/>
  <c r="BW20" i="6"/>
  <c r="BW24" i="6"/>
  <c r="BW28" i="6"/>
  <c r="BW21" i="6"/>
  <c r="BW25" i="6"/>
  <c r="BW29" i="6"/>
  <c r="BV22" i="6"/>
  <c r="BV26" i="6"/>
  <c r="BV30" i="6"/>
  <c r="BV19" i="6"/>
  <c r="BV32" i="6" s="1"/>
  <c r="BV23" i="6"/>
  <c r="BV27" i="6"/>
  <c r="BV20" i="6"/>
  <c r="BV24" i="6"/>
  <c r="BV28" i="6"/>
  <c r="BV21" i="6"/>
  <c r="BV25" i="6"/>
  <c r="BV29" i="6"/>
  <c r="BU22" i="6"/>
  <c r="BU26" i="6"/>
  <c r="BU30" i="6"/>
  <c r="BU19" i="6"/>
  <c r="BU32" i="6" s="1"/>
  <c r="BU23" i="6"/>
  <c r="BU27" i="6"/>
  <c r="BU20" i="6"/>
  <c r="BU24" i="6"/>
  <c r="BU28" i="6"/>
  <c r="BU21" i="6"/>
  <c r="BU25" i="6"/>
  <c r="BU29" i="6"/>
  <c r="BT22" i="6"/>
  <c r="BT26" i="6"/>
  <c r="BT30" i="6"/>
  <c r="BT19" i="6"/>
  <c r="BT32" i="6" s="1"/>
  <c r="BT23" i="6"/>
  <c r="BT27" i="6"/>
  <c r="BT20" i="6"/>
  <c r="BT24" i="6"/>
  <c r="BT28" i="6"/>
  <c r="BT21" i="6"/>
  <c r="BT25" i="6"/>
  <c r="BT29" i="6"/>
  <c r="BS22" i="6"/>
  <c r="BS26" i="6"/>
  <c r="BS30" i="6"/>
  <c r="BS19" i="6"/>
  <c r="BS32" i="6" s="1"/>
  <c r="BS23" i="6"/>
  <c r="BS27" i="6"/>
  <c r="BS20" i="6"/>
  <c r="BS24" i="6"/>
  <c r="BS28" i="6"/>
  <c r="BS21" i="6"/>
  <c r="BS25" i="6"/>
  <c r="BS29" i="6"/>
  <c r="BR22" i="6"/>
  <c r="BR26" i="6"/>
  <c r="BR30" i="6"/>
  <c r="BR19" i="6"/>
  <c r="BR32" i="6" s="1"/>
  <c r="BR23" i="6"/>
  <c r="BR27" i="6"/>
  <c r="BR20" i="6"/>
  <c r="BR24" i="6"/>
  <c r="BR28" i="6"/>
  <c r="BR21" i="6"/>
  <c r="BR25" i="6"/>
  <c r="BR29" i="6"/>
  <c r="BQ22" i="6"/>
  <c r="BQ26" i="6"/>
  <c r="BQ30" i="6"/>
  <c r="BQ19" i="6"/>
  <c r="BQ32" i="6" s="1"/>
  <c r="BQ23" i="6"/>
  <c r="BQ27" i="6"/>
  <c r="BQ20" i="6"/>
  <c r="BQ24" i="6"/>
  <c r="BQ28" i="6"/>
  <c r="BQ21" i="6"/>
  <c r="BQ25" i="6"/>
  <c r="BQ29" i="6"/>
  <c r="BP22" i="6"/>
  <c r="BP26" i="6"/>
  <c r="BP30" i="6"/>
  <c r="BP21" i="6"/>
  <c r="BP29" i="6"/>
  <c r="BP19" i="6"/>
  <c r="BP32" i="6" s="1"/>
  <c r="BP23" i="6"/>
  <c r="BP27" i="6"/>
  <c r="BP20" i="6"/>
  <c r="BP24" i="6"/>
  <c r="BP28" i="6"/>
  <c r="BP25" i="6"/>
  <c r="BO22" i="6"/>
  <c r="BO26" i="6"/>
  <c r="BO30" i="6"/>
  <c r="BO21" i="6"/>
  <c r="BO19" i="6"/>
  <c r="BO32" i="6" s="1"/>
  <c r="BO23" i="6"/>
  <c r="BO27" i="6"/>
  <c r="BO20" i="6"/>
  <c r="BO24" i="6"/>
  <c r="BO28" i="6"/>
  <c r="BO25" i="6"/>
  <c r="BO29" i="6"/>
  <c r="BN22" i="6"/>
  <c r="BN26" i="6"/>
  <c r="BN30" i="6"/>
  <c r="BN21" i="6"/>
  <c r="BN19" i="6"/>
  <c r="BN32" i="6" s="1"/>
  <c r="BN23" i="6"/>
  <c r="BN27" i="6"/>
  <c r="BN20" i="6"/>
  <c r="BN24" i="6"/>
  <c r="BN28" i="6"/>
  <c r="BN25" i="6"/>
  <c r="BN29" i="6"/>
  <c r="BM22" i="6"/>
  <c r="BM26" i="6"/>
  <c r="BM30" i="6"/>
  <c r="BM21" i="6"/>
  <c r="BM25" i="6"/>
  <c r="BM19" i="6"/>
  <c r="BM32" i="6" s="1"/>
  <c r="BM23" i="6"/>
  <c r="BM27" i="6"/>
  <c r="BM20" i="6"/>
  <c r="BM24" i="6"/>
  <c r="BM28" i="6"/>
  <c r="BM29" i="6"/>
  <c r="BL22" i="6"/>
  <c r="BL26" i="6"/>
  <c r="BL30" i="6"/>
  <c r="BL21" i="6"/>
  <c r="BL29" i="6"/>
  <c r="BL19" i="6"/>
  <c r="BL32" i="6" s="1"/>
  <c r="BL23" i="6"/>
  <c r="BL27" i="6"/>
  <c r="BL20" i="6"/>
  <c r="BL24" i="6"/>
  <c r="BL28" i="6"/>
  <c r="BL25" i="6"/>
  <c r="BK22" i="6"/>
  <c r="BK26" i="6"/>
  <c r="BK30" i="6"/>
  <c r="BK21" i="6"/>
  <c r="BK25" i="6"/>
  <c r="BK19" i="6"/>
  <c r="BK32" i="6" s="1"/>
  <c r="BK23" i="6"/>
  <c r="BK27" i="6"/>
  <c r="BK20" i="6"/>
  <c r="BK24" i="6"/>
  <c r="BK28" i="6"/>
  <c r="BK29" i="6"/>
  <c r="BJ22" i="6"/>
  <c r="BJ26" i="6"/>
  <c r="BJ30" i="6"/>
  <c r="BJ20" i="6"/>
  <c r="BJ28" i="6"/>
  <c r="BJ19" i="6"/>
  <c r="BJ32" i="6" s="1"/>
  <c r="BJ23" i="6"/>
  <c r="BJ27" i="6"/>
  <c r="BJ24" i="6"/>
  <c r="BJ21" i="6"/>
  <c r="BJ25" i="6"/>
  <c r="BJ29" i="6"/>
  <c r="BI22" i="6"/>
  <c r="BI26" i="6"/>
  <c r="BI30" i="6"/>
  <c r="BI20" i="6"/>
  <c r="BI28" i="6"/>
  <c r="BI19" i="6"/>
  <c r="BI32" i="6" s="1"/>
  <c r="BI23" i="6"/>
  <c r="BI27" i="6"/>
  <c r="BI24" i="6"/>
  <c r="BI21" i="6"/>
  <c r="BI25" i="6"/>
  <c r="BI29" i="6"/>
  <c r="BH22" i="6"/>
  <c r="BH26" i="6"/>
  <c r="BH30" i="6"/>
  <c r="BH24" i="6"/>
  <c r="BH21" i="6"/>
  <c r="BH25" i="6"/>
  <c r="BH29" i="6"/>
  <c r="BH19" i="6"/>
  <c r="BH32" i="6" s="1"/>
  <c r="BH23" i="6"/>
  <c r="BH27" i="6"/>
  <c r="BH20" i="6"/>
  <c r="BH28" i="6"/>
  <c r="BG33" i="6"/>
  <c r="BG34" i="6" s="1"/>
  <c r="BG35" i="6" s="1"/>
  <c r="BG36" i="6" s="1"/>
  <c r="BG37" i="6" s="1"/>
  <c r="BG38" i="6" s="1"/>
  <c r="BG39" i="6" s="1"/>
  <c r="BG40" i="6" s="1"/>
  <c r="BG41" i="6" s="1"/>
  <c r="BG42" i="6" s="1"/>
  <c r="BG43" i="6" s="1"/>
  <c r="BF22" i="6"/>
  <c r="BF26" i="6"/>
  <c r="BF30" i="6"/>
  <c r="BF19" i="6"/>
  <c r="BF32" i="6" s="1"/>
  <c r="BF23" i="6"/>
  <c r="BF27" i="6"/>
  <c r="BF20" i="6"/>
  <c r="BF24" i="6"/>
  <c r="BF28" i="6"/>
  <c r="BF21" i="6"/>
  <c r="BF25" i="6"/>
  <c r="BF29" i="6"/>
  <c r="BE22" i="6"/>
  <c r="BE26" i="6"/>
  <c r="BE30" i="6"/>
  <c r="BE19" i="6"/>
  <c r="BE32" i="6" s="1"/>
  <c r="BE23" i="6"/>
  <c r="BE27" i="6"/>
  <c r="BE24" i="6"/>
  <c r="BE21" i="6"/>
  <c r="BE25" i="6"/>
  <c r="BE29" i="6"/>
  <c r="BE20" i="6"/>
  <c r="BE28" i="6"/>
  <c r="BD22" i="6"/>
  <c r="BD26" i="6"/>
  <c r="BD30" i="6"/>
  <c r="BD19" i="6"/>
  <c r="BD32" i="6" s="1"/>
  <c r="BD23" i="6"/>
  <c r="BD27" i="6"/>
  <c r="BD20" i="6"/>
  <c r="BD28" i="6"/>
  <c r="BD21" i="6"/>
  <c r="BD25" i="6"/>
  <c r="BD29" i="6"/>
  <c r="BD24" i="6"/>
  <c r="BC22" i="6"/>
  <c r="BC26" i="6"/>
  <c r="BC30" i="6"/>
  <c r="BC24" i="6"/>
  <c r="BC19" i="6"/>
  <c r="BC32" i="6" s="1"/>
  <c r="BC23" i="6"/>
  <c r="BC27" i="6"/>
  <c r="BC20" i="6"/>
  <c r="BC28" i="6"/>
  <c r="BC21" i="6"/>
  <c r="BC25" i="6"/>
  <c r="BC29" i="6"/>
  <c r="BB22" i="6"/>
  <c r="BB26" i="6"/>
  <c r="BB30" i="6"/>
  <c r="BB28" i="6"/>
  <c r="BB19" i="6"/>
  <c r="BB32" i="6" s="1"/>
  <c r="BB23" i="6"/>
  <c r="BB27" i="6"/>
  <c r="BB20" i="6"/>
  <c r="BB24" i="6"/>
  <c r="BB21" i="6"/>
  <c r="BB25" i="6"/>
  <c r="BB29" i="6"/>
  <c r="BA22" i="6"/>
  <c r="BA26" i="6"/>
  <c r="BA30" i="6"/>
  <c r="BA21" i="6"/>
  <c r="BA25" i="6"/>
  <c r="BA29" i="6"/>
  <c r="BA19" i="6"/>
  <c r="BA32" i="6" s="1"/>
  <c r="BA23" i="6"/>
  <c r="BA27" i="6"/>
  <c r="BA20" i="6"/>
  <c r="BA24" i="6"/>
  <c r="BA28" i="6"/>
  <c r="AY22" i="6"/>
  <c r="AY26" i="6"/>
  <c r="AY30" i="6"/>
  <c r="AY19" i="6"/>
  <c r="AY32" i="6" s="1"/>
  <c r="AY23" i="6"/>
  <c r="AY27" i="6"/>
  <c r="AY20" i="6"/>
  <c r="AY24" i="6"/>
  <c r="AY28" i="6"/>
  <c r="AY21" i="6"/>
  <c r="AY25" i="6"/>
  <c r="AY29" i="6"/>
  <c r="AX22" i="6"/>
  <c r="AX26" i="6"/>
  <c r="AX30" i="6"/>
  <c r="AX19" i="6"/>
  <c r="AX32" i="6" s="1"/>
  <c r="AX23" i="6"/>
  <c r="AX27" i="6"/>
  <c r="AX24" i="6"/>
  <c r="AX21" i="6"/>
  <c r="AX25" i="6"/>
  <c r="AX29" i="6"/>
  <c r="AX20" i="6"/>
  <c r="AX28" i="6"/>
  <c r="AW22" i="6"/>
  <c r="AW26" i="6"/>
  <c r="AW30" i="6"/>
  <c r="AW19" i="6"/>
  <c r="AW32" i="6" s="1"/>
  <c r="AW23" i="6"/>
  <c r="AW27" i="6"/>
  <c r="AW24" i="6"/>
  <c r="AW21" i="6"/>
  <c r="AW25" i="6"/>
  <c r="AW29" i="6"/>
  <c r="AW20" i="6"/>
  <c r="AW28" i="6"/>
  <c r="AV22" i="6"/>
  <c r="AV26" i="6"/>
  <c r="AV30" i="6"/>
  <c r="AV19" i="6"/>
  <c r="AV32" i="6" s="1"/>
  <c r="AV23" i="6"/>
  <c r="AV27" i="6"/>
  <c r="AV20" i="6"/>
  <c r="AV24" i="6"/>
  <c r="AV28" i="6"/>
  <c r="AV21" i="6"/>
  <c r="AV25" i="6"/>
  <c r="AV29" i="6"/>
  <c r="AU20" i="6"/>
  <c r="AU21" i="6"/>
  <c r="AU25" i="6"/>
  <c r="AU29" i="6"/>
  <c r="AU22" i="6"/>
  <c r="AU26" i="6"/>
  <c r="AU30" i="6"/>
  <c r="AU19" i="6"/>
  <c r="AU32" i="6" s="1"/>
  <c r="AU23" i="6"/>
  <c r="AU27" i="6"/>
  <c r="AU24" i="6"/>
  <c r="AU28" i="6"/>
  <c r="AT22" i="6"/>
  <c r="AT26" i="6"/>
  <c r="AT30" i="6"/>
  <c r="AT19" i="6"/>
  <c r="AT32" i="6" s="1"/>
  <c r="AT23" i="6"/>
  <c r="AT27" i="6"/>
  <c r="AT20" i="6"/>
  <c r="AT24" i="6"/>
  <c r="AT28" i="6"/>
  <c r="AT21" i="6"/>
  <c r="AT25" i="6"/>
  <c r="AT29" i="6"/>
  <c r="AS22" i="6"/>
  <c r="AS26" i="6"/>
  <c r="AS30" i="6"/>
  <c r="AS19" i="6"/>
  <c r="AS32" i="6" s="1"/>
  <c r="AS23" i="6"/>
  <c r="AS27" i="6"/>
  <c r="AS20" i="6"/>
  <c r="AS24" i="6"/>
  <c r="AS28" i="6"/>
  <c r="AS21" i="6"/>
  <c r="AS25" i="6"/>
  <c r="AS29" i="6"/>
  <c r="AR22" i="6"/>
  <c r="AR26" i="6"/>
  <c r="AR30" i="6"/>
  <c r="AR19" i="6"/>
  <c r="AR32" i="6" s="1"/>
  <c r="AR23" i="6"/>
  <c r="AR27" i="6"/>
  <c r="AR20" i="6"/>
  <c r="AR24" i="6"/>
  <c r="AR28" i="6"/>
  <c r="AR21" i="6"/>
  <c r="AR25" i="6"/>
  <c r="AR29" i="6"/>
  <c r="AQ22" i="6"/>
  <c r="AQ26" i="6"/>
  <c r="AQ30" i="6"/>
  <c r="AQ20" i="6"/>
  <c r="AQ24" i="6"/>
  <c r="AQ28" i="6"/>
  <c r="AQ21" i="6"/>
  <c r="AQ25" i="6"/>
  <c r="AQ29" i="6"/>
  <c r="AQ19" i="6"/>
  <c r="AQ32" i="6" s="1"/>
  <c r="AQ23" i="6"/>
  <c r="AQ27" i="6"/>
  <c r="AP22" i="6"/>
  <c r="AP26" i="6"/>
  <c r="AP30" i="6"/>
  <c r="AP19" i="6"/>
  <c r="AP32" i="6" s="1"/>
  <c r="AP23" i="6"/>
  <c r="AP27" i="6"/>
  <c r="AP20" i="6"/>
  <c r="AP24" i="6"/>
  <c r="AP28" i="6"/>
  <c r="AP21" i="6"/>
  <c r="AP25" i="6"/>
  <c r="AP29" i="6"/>
  <c r="AO22" i="6"/>
  <c r="AO26" i="6"/>
  <c r="AO30" i="6"/>
  <c r="AO24" i="6"/>
  <c r="AO21" i="6"/>
  <c r="AO25" i="6"/>
  <c r="AO29" i="6"/>
  <c r="AO19" i="6"/>
  <c r="AO32" i="6" s="1"/>
  <c r="AO23" i="6"/>
  <c r="AO27" i="6"/>
  <c r="AO20" i="6"/>
  <c r="AO28" i="6"/>
  <c r="AM22" i="6"/>
  <c r="AM26" i="6"/>
  <c r="AM30" i="6"/>
  <c r="AM19" i="6"/>
  <c r="AM32" i="6" s="1"/>
  <c r="AM23" i="6"/>
  <c r="AM27" i="6"/>
  <c r="AM20" i="6"/>
  <c r="AM28" i="6"/>
  <c r="AM21" i="6"/>
  <c r="AM25" i="6"/>
  <c r="AM29" i="6"/>
  <c r="AM24" i="6"/>
  <c r="AL22" i="6"/>
  <c r="AL26" i="6"/>
  <c r="AL30" i="6"/>
  <c r="AL19" i="6"/>
  <c r="AL32" i="6" s="1"/>
  <c r="AL23" i="6"/>
  <c r="AL27" i="6"/>
  <c r="AL20" i="6"/>
  <c r="AL24" i="6"/>
  <c r="AL28" i="6"/>
  <c r="AL21" i="6"/>
  <c r="AL25" i="6"/>
  <c r="AL29" i="6"/>
  <c r="AK22" i="6"/>
  <c r="AK23" i="6"/>
  <c r="AK28" i="6"/>
  <c r="AH22" i="6"/>
  <c r="AH26" i="6"/>
  <c r="AH30" i="6"/>
  <c r="AH19" i="6"/>
  <c r="AH32" i="6" s="1"/>
  <c r="AH23" i="6"/>
  <c r="AH27" i="6"/>
  <c r="AH20" i="6"/>
  <c r="AH24" i="6"/>
  <c r="AH28" i="6"/>
  <c r="AH21" i="6"/>
  <c r="AH25" i="6"/>
  <c r="AH29" i="6"/>
  <c r="AG22" i="6"/>
  <c r="AG26" i="6"/>
  <c r="AG30" i="6"/>
  <c r="AG19" i="6"/>
  <c r="AG32" i="6" s="1"/>
  <c r="AG23" i="6"/>
  <c r="AG27" i="6"/>
  <c r="AG20" i="6"/>
  <c r="AG24" i="6"/>
  <c r="AG28" i="6"/>
  <c r="AG21" i="6"/>
  <c r="AG25" i="6"/>
  <c r="AG29" i="6"/>
  <c r="AF33" i="6"/>
  <c r="AF34" i="6" s="1"/>
  <c r="AF35" i="6" s="1"/>
  <c r="AF36" i="6" s="1"/>
  <c r="AF37" i="6" s="1"/>
  <c r="AF38" i="6" s="1"/>
  <c r="AF39" i="6" s="1"/>
  <c r="AF40" i="6" s="1"/>
  <c r="AF41" i="6" s="1"/>
  <c r="AF42" i="6" s="1"/>
  <c r="AF43" i="6" s="1"/>
  <c r="AB33" i="6"/>
  <c r="AB34" i="6" s="1"/>
  <c r="AB35" i="6" s="1"/>
  <c r="AB36" i="6" s="1"/>
  <c r="AB37" i="6" s="1"/>
  <c r="AB38" i="6" s="1"/>
  <c r="AB39" i="6" s="1"/>
  <c r="AB40" i="6" s="1"/>
  <c r="AB41" i="6" s="1"/>
  <c r="AB42" i="6" s="1"/>
  <c r="AB43" i="6" s="1"/>
  <c r="AA19" i="6"/>
  <c r="X33" i="6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S19" i="6"/>
  <c r="S32" i="6" s="1"/>
  <c r="S23" i="6"/>
  <c r="S27" i="6"/>
  <c r="S20" i="6"/>
  <c r="S24" i="6"/>
  <c r="S28" i="6"/>
  <c r="S25" i="6"/>
  <c r="S21" i="6"/>
  <c r="S22" i="6"/>
  <c r="S29" i="6"/>
  <c r="S30" i="6"/>
  <c r="S26" i="6"/>
  <c r="Y19" i="6"/>
  <c r="Y32" i="6" s="1"/>
  <c r="Y23" i="6"/>
  <c r="Y27" i="6"/>
  <c r="Y21" i="6"/>
  <c r="Y26" i="6"/>
  <c r="Y22" i="6"/>
  <c r="Y28" i="6"/>
  <c r="Y25" i="6"/>
  <c r="Y20" i="6"/>
  <c r="Y29" i="6"/>
  <c r="Y30" i="6"/>
  <c r="Y24" i="6"/>
  <c r="V19" i="6"/>
  <c r="V32" i="6" s="1"/>
  <c r="V23" i="6"/>
  <c r="V27" i="6"/>
  <c r="V20" i="6"/>
  <c r="V25" i="6"/>
  <c r="V30" i="6"/>
  <c r="V21" i="6"/>
  <c r="V26" i="6"/>
  <c r="V29" i="6"/>
  <c r="V24" i="6"/>
  <c r="V28" i="6"/>
  <c r="V22" i="6"/>
  <c r="U18" i="6"/>
  <c r="U56" i="6" s="1"/>
  <c r="U19" i="6" a="1"/>
  <c r="T33" i="6"/>
  <c r="T34" i="6" s="1"/>
  <c r="T35" i="6" s="1"/>
  <c r="T36" i="6" s="1"/>
  <c r="T37" i="6" s="1"/>
  <c r="T38" i="6" s="1"/>
  <c r="T39" i="6" s="1"/>
  <c r="T40" i="6" s="1"/>
  <c r="T41" i="6" s="1"/>
  <c r="T42" i="6" s="1"/>
  <c r="T43" i="6" s="1"/>
  <c r="R18" i="6"/>
  <c r="R56" i="6" s="1"/>
  <c r="R19" i="6" a="1"/>
  <c r="N24" i="6"/>
  <c r="N21" i="6"/>
  <c r="N29" i="6"/>
  <c r="N22" i="6"/>
  <c r="N26" i="6"/>
  <c r="N30" i="6"/>
  <c r="N19" i="6"/>
  <c r="N32" i="6" s="1"/>
  <c r="N23" i="6"/>
  <c r="N27" i="6"/>
  <c r="N20" i="6"/>
  <c r="N28" i="6"/>
  <c r="N25" i="6"/>
  <c r="P19" i="6"/>
  <c r="P32" i="6" s="1"/>
  <c r="P23" i="6"/>
  <c r="P27" i="6"/>
  <c r="P22" i="6"/>
  <c r="P28" i="6"/>
  <c r="P24" i="6"/>
  <c r="P29" i="6"/>
  <c r="P20" i="6"/>
  <c r="P25" i="6"/>
  <c r="P30" i="6"/>
  <c r="P21" i="6"/>
  <c r="P26" i="6"/>
  <c r="O18" i="6"/>
  <c r="O56" i="6" s="1"/>
  <c r="O19" i="6" a="1"/>
  <c r="Q19" i="6"/>
  <c r="Q32" i="6" s="1"/>
  <c r="Q23" i="6"/>
  <c r="Q27" i="6"/>
  <c r="Q20" i="6"/>
  <c r="Q25" i="6"/>
  <c r="Q30" i="6"/>
  <c r="Q21" i="6"/>
  <c r="Q26" i="6"/>
  <c r="Q22" i="6"/>
  <c r="Q28" i="6"/>
  <c r="Q24" i="6"/>
  <c r="Q29" i="6"/>
  <c r="R55" i="6"/>
  <c r="M19" i="6"/>
  <c r="M32" i="6" s="1"/>
  <c r="M23" i="6"/>
  <c r="M27" i="6"/>
  <c r="M20" i="6"/>
  <c r="M24" i="6"/>
  <c r="M28" i="6"/>
  <c r="M21" i="6"/>
  <c r="M25" i="6"/>
  <c r="M29" i="6"/>
  <c r="M22" i="6"/>
  <c r="M26" i="6"/>
  <c r="M30" i="6"/>
  <c r="I19" i="6"/>
  <c r="I32" i="6" s="1"/>
  <c r="I23" i="6"/>
  <c r="I27" i="6"/>
  <c r="I20" i="6"/>
  <c r="I24" i="6"/>
  <c r="I28" i="6"/>
  <c r="I21" i="6"/>
  <c r="I25" i="6"/>
  <c r="I29" i="6"/>
  <c r="I22" i="6"/>
  <c r="I26" i="6"/>
  <c r="I30" i="6"/>
  <c r="G33" i="6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E20" i="6"/>
  <c r="E21" i="6"/>
  <c r="E25" i="6"/>
  <c r="E29" i="6"/>
  <c r="E22" i="6"/>
  <c r="E26" i="6"/>
  <c r="E30" i="6"/>
  <c r="E19" i="6"/>
  <c r="E32" i="6" s="1"/>
  <c r="E23" i="6"/>
  <c r="E27" i="6"/>
  <c r="E24" i="6"/>
  <c r="E28" i="6"/>
  <c r="AD55" i="6" l="1"/>
  <c r="AD18" i="6"/>
  <c r="AD56" i="6" s="1"/>
  <c r="AD19" i="6" a="1"/>
  <c r="AK18" i="6"/>
  <c r="AK56" i="6" s="1"/>
  <c r="AK55" i="6"/>
  <c r="AK29" i="6"/>
  <c r="AK24" i="6"/>
  <c r="AK19" i="6"/>
  <c r="AK32" i="6" s="1"/>
  <c r="AK25" i="6"/>
  <c r="AK20" i="6"/>
  <c r="AK30" i="6"/>
  <c r="AK21" i="6"/>
  <c r="AK27" i="6"/>
  <c r="AE18" i="6"/>
  <c r="AE56" i="6" s="1"/>
  <c r="AE19" i="6" a="1"/>
  <c r="BA33" i="6"/>
  <c r="BA34" i="6" s="1"/>
  <c r="BQ33" i="6"/>
  <c r="BQ34" i="6" s="1"/>
  <c r="BQ35" i="6" s="1"/>
  <c r="BQ36" i="6" s="1"/>
  <c r="BQ37" i="6" s="1"/>
  <c r="BQ38" i="6" s="1"/>
  <c r="BQ39" i="6" s="1"/>
  <c r="BQ40" i="6" s="1"/>
  <c r="BQ41" i="6" s="1"/>
  <c r="BQ42" i="6" s="1"/>
  <c r="BQ43" i="6" s="1"/>
  <c r="BR33" i="6"/>
  <c r="BU33" i="6"/>
  <c r="BU34" i="6" s="1"/>
  <c r="BU35" i="6" s="1"/>
  <c r="BU36" i="6" s="1"/>
  <c r="BU37" i="6" s="1"/>
  <c r="BU38" i="6" s="1"/>
  <c r="BU39" i="6" s="1"/>
  <c r="BU40" i="6" s="1"/>
  <c r="BU41" i="6" s="1"/>
  <c r="BU42" i="6" s="1"/>
  <c r="BU43" i="6" s="1"/>
  <c r="BV33" i="6"/>
  <c r="BV34" i="6" s="1"/>
  <c r="BV35" i="6" s="1"/>
  <c r="BV36" i="6" s="1"/>
  <c r="BV37" i="6" s="1"/>
  <c r="BV38" i="6" s="1"/>
  <c r="BV39" i="6" s="1"/>
  <c r="BV40" i="6" s="1"/>
  <c r="BV41" i="6" s="1"/>
  <c r="BV42" i="6" s="1"/>
  <c r="BV43" i="6" s="1"/>
  <c r="BW33" i="6"/>
  <c r="BW34" i="6" s="1"/>
  <c r="BW35" i="6" s="1"/>
  <c r="BW36" i="6" s="1"/>
  <c r="BW37" i="6" s="1"/>
  <c r="BW38" i="6" s="1"/>
  <c r="BW39" i="6" s="1"/>
  <c r="BW40" i="6" s="1"/>
  <c r="BW41" i="6" s="1"/>
  <c r="BW42" i="6" s="1"/>
  <c r="BW43" i="6" s="1"/>
  <c r="BX33" i="6"/>
  <c r="BY33" i="6"/>
  <c r="BY34" i="6" s="1"/>
  <c r="BY35" i="6" s="1"/>
  <c r="BY36" i="6" s="1"/>
  <c r="BY37" i="6" s="1"/>
  <c r="BY38" i="6" s="1"/>
  <c r="BY39" i="6" s="1"/>
  <c r="BY40" i="6" s="1"/>
  <c r="BY41" i="6" s="1"/>
  <c r="BY42" i="6" s="1"/>
  <c r="BY43" i="6" s="1"/>
  <c r="BZ33" i="6"/>
  <c r="BZ34" i="6" s="1"/>
  <c r="BZ35" i="6" s="1"/>
  <c r="BZ36" i="6" s="1"/>
  <c r="BZ37" i="6" s="1"/>
  <c r="BZ38" i="6" s="1"/>
  <c r="BZ39" i="6" s="1"/>
  <c r="BZ40" i="6" s="1"/>
  <c r="BZ41" i="6" s="1"/>
  <c r="BZ42" i="6" s="1"/>
  <c r="BZ43" i="6" s="1"/>
  <c r="CA33" i="6"/>
  <c r="CA34" i="6" s="1"/>
  <c r="CA35" i="6" s="1"/>
  <c r="CA36" i="6" s="1"/>
  <c r="CA37" i="6" s="1"/>
  <c r="CA38" i="6" s="1"/>
  <c r="CA39" i="6" s="1"/>
  <c r="CA40" i="6" s="1"/>
  <c r="CA41" i="6" s="1"/>
  <c r="CA42" i="6" s="1"/>
  <c r="CA43" i="6" s="1"/>
  <c r="K37" i="6"/>
  <c r="K38" i="6" s="1"/>
  <c r="K39" i="6" s="1"/>
  <c r="K40" i="6" s="1"/>
  <c r="K41" i="6" s="1"/>
  <c r="K42" i="6" s="1"/>
  <c r="K43" i="6" s="1"/>
  <c r="AG33" i="6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H33" i="6"/>
  <c r="AH34" i="6" s="1"/>
  <c r="AH35" i="6" s="1"/>
  <c r="AH36" i="6" s="1"/>
  <c r="AH37" i="6" s="1"/>
  <c r="AH38" i="6" s="1"/>
  <c r="AH39" i="6" s="1"/>
  <c r="AH40" i="6" s="1"/>
  <c r="AH41" i="6" s="1"/>
  <c r="AH42" i="6" s="1"/>
  <c r="AH43" i="6" s="1"/>
  <c r="AK33" i="6"/>
  <c r="AK34" i="6" s="1"/>
  <c r="AK35" i="6" s="1"/>
  <c r="AK36" i="6" s="1"/>
  <c r="AK37" i="6" s="1"/>
  <c r="AK38" i="6" s="1"/>
  <c r="AK39" i="6" s="1"/>
  <c r="AK40" i="6" s="1"/>
  <c r="AK41" i="6" s="1"/>
  <c r="AK42" i="6" s="1"/>
  <c r="AK43" i="6" s="1"/>
  <c r="AR33" i="6"/>
  <c r="AR34" i="6" s="1"/>
  <c r="AR35" i="6" s="1"/>
  <c r="AR36" i="6" s="1"/>
  <c r="AS33" i="6"/>
  <c r="AS34" i="6" s="1"/>
  <c r="AS35" i="6" s="1"/>
  <c r="AS36" i="6" s="1"/>
  <c r="AS37" i="6" s="1"/>
  <c r="AS38" i="6" s="1"/>
  <c r="AS39" i="6" s="1"/>
  <c r="AS40" i="6" s="1"/>
  <c r="AS41" i="6" s="1"/>
  <c r="AS42" i="6" s="1"/>
  <c r="AS43" i="6" s="1"/>
  <c r="AU33" i="6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Y33" i="6"/>
  <c r="AY34" i="6" s="1"/>
  <c r="AY35" i="6" s="1"/>
  <c r="AY36" i="6" s="1"/>
  <c r="AY37" i="6" s="1"/>
  <c r="AY38" i="6" s="1"/>
  <c r="AY39" i="6" s="1"/>
  <c r="AY40" i="6" s="1"/>
  <c r="AY41" i="6" s="1"/>
  <c r="AY42" i="6" s="1"/>
  <c r="AY43" i="6" s="1"/>
  <c r="BC33" i="6"/>
  <c r="BC34" i="6" s="1"/>
  <c r="BC35" i="6" s="1"/>
  <c r="BC36" i="6" s="1"/>
  <c r="BC37" i="6" s="1"/>
  <c r="BC38" i="6" s="1"/>
  <c r="BC39" i="6" s="1"/>
  <c r="BC40" i="6" s="1"/>
  <c r="BC41" i="6" s="1"/>
  <c r="BC42" i="6" s="1"/>
  <c r="BC43" i="6" s="1"/>
  <c r="BK33" i="6"/>
  <c r="BK34" i="6" s="1"/>
  <c r="BK35" i="6" s="1"/>
  <c r="BK36" i="6" s="1"/>
  <c r="BK37" i="6" s="1"/>
  <c r="BK38" i="6" s="1"/>
  <c r="BK39" i="6" s="1"/>
  <c r="BK40" i="6" s="1"/>
  <c r="BK41" i="6" s="1"/>
  <c r="BK42" i="6" s="1"/>
  <c r="BK43" i="6" s="1"/>
  <c r="BL33" i="6"/>
  <c r="BL34" i="6" s="1"/>
  <c r="BL35" i="6" s="1"/>
  <c r="BL36" i="6" s="1"/>
  <c r="BL37" i="6" s="1"/>
  <c r="BL38" i="6" s="1"/>
  <c r="BL39" i="6" s="1"/>
  <c r="BL40" i="6" s="1"/>
  <c r="BL41" i="6" s="1"/>
  <c r="BL42" i="6" s="1"/>
  <c r="BL43" i="6" s="1"/>
  <c r="BM33" i="6"/>
  <c r="BM34" i="6" s="1"/>
  <c r="BM35" i="6" s="1"/>
  <c r="BM36" i="6" s="1"/>
  <c r="BM37" i="6" s="1"/>
  <c r="BM38" i="6" s="1"/>
  <c r="BM39" i="6" s="1"/>
  <c r="BM40" i="6" s="1"/>
  <c r="BM41" i="6" s="1"/>
  <c r="BM42" i="6" s="1"/>
  <c r="BM43" i="6" s="1"/>
  <c r="BP33" i="6"/>
  <c r="BP34" i="6" s="1"/>
  <c r="BP35" i="6" s="1"/>
  <c r="BD33" i="6"/>
  <c r="BD34" i="6" s="1"/>
  <c r="BD35" i="6" s="1"/>
  <c r="BD36" i="6" s="1"/>
  <c r="BD37" i="6" s="1"/>
  <c r="BD38" i="6" s="1"/>
  <c r="BD39" i="6" s="1"/>
  <c r="BD40" i="6" s="1"/>
  <c r="BD41" i="6" s="1"/>
  <c r="BD42" i="6" s="1"/>
  <c r="BD43" i="6" s="1"/>
  <c r="BE33" i="6"/>
  <c r="BE34" i="6" s="1"/>
  <c r="BE35" i="6" s="1"/>
  <c r="BE36" i="6" s="1"/>
  <c r="BE37" i="6" s="1"/>
  <c r="BE38" i="6" s="1"/>
  <c r="BE39" i="6" s="1"/>
  <c r="BE40" i="6" s="1"/>
  <c r="BE41" i="6" s="1"/>
  <c r="BE42" i="6" s="1"/>
  <c r="BE43" i="6" s="1"/>
  <c r="BA35" i="6"/>
  <c r="BA36" i="6" s="1"/>
  <c r="BA37" i="6" s="1"/>
  <c r="BA38" i="6" s="1"/>
  <c r="BA39" i="6" s="1"/>
  <c r="BA40" i="6" s="1"/>
  <c r="BA41" i="6" s="1"/>
  <c r="BA42" i="6" s="1"/>
  <c r="BA43" i="6" s="1"/>
  <c r="BR34" i="6"/>
  <c r="BR35" i="6" s="1"/>
  <c r="BR36" i="6" s="1"/>
  <c r="BR37" i="6" s="1"/>
  <c r="BR38" i="6" s="1"/>
  <c r="BR39" i="6" s="1"/>
  <c r="BR40" i="6" s="1"/>
  <c r="BR41" i="6" s="1"/>
  <c r="BR42" i="6" s="1"/>
  <c r="BR43" i="6" s="1"/>
  <c r="BX34" i="6"/>
  <c r="BX35" i="6" s="1"/>
  <c r="BX36" i="6" s="1"/>
  <c r="BX37" i="6" s="1"/>
  <c r="BX38" i="6" s="1"/>
  <c r="BX39" i="6" s="1"/>
  <c r="BX40" i="6" s="1"/>
  <c r="BX41" i="6" s="1"/>
  <c r="BX42" i="6" s="1"/>
  <c r="BX43" i="6" s="1"/>
  <c r="I33" i="6"/>
  <c r="I34" i="6" s="1"/>
  <c r="I35" i="6" s="1"/>
  <c r="I36" i="6" s="1"/>
  <c r="I37" i="6" s="1"/>
  <c r="I38" i="6" s="1"/>
  <c r="I39" i="6" s="1"/>
  <c r="I40" i="6" s="1"/>
  <c r="I41" i="6" s="1"/>
  <c r="I42" i="6" s="1"/>
  <c r="I43" i="6" s="1"/>
  <c r="M33" i="6"/>
  <c r="M34" i="6" s="1"/>
  <c r="M35" i="6" s="1"/>
  <c r="M36" i="6" s="1"/>
  <c r="M37" i="6" s="1"/>
  <c r="M38" i="6" s="1"/>
  <c r="M39" i="6" s="1"/>
  <c r="M40" i="6" s="1"/>
  <c r="M41" i="6" s="1"/>
  <c r="M42" i="6" s="1"/>
  <c r="M43" i="6" s="1"/>
  <c r="AJ17" i="6"/>
  <c r="AJ55" i="6" s="1"/>
  <c r="AI17" i="6"/>
  <c r="AI55" i="6" s="1"/>
  <c r="AT33" i="6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J54" i="6"/>
  <c r="H17" i="6"/>
  <c r="H55" i="6" s="1"/>
  <c r="AP33" i="6"/>
  <c r="AP34" i="6" s="1"/>
  <c r="AP35" i="6" s="1"/>
  <c r="AP36" i="6" s="1"/>
  <c r="AP37" i="6" s="1"/>
  <c r="AP38" i="6" s="1"/>
  <c r="AP39" i="6" s="1"/>
  <c r="AP40" i="6" s="1"/>
  <c r="AP41" i="6" s="1"/>
  <c r="AP42" i="6" s="1"/>
  <c r="AP43" i="6" s="1"/>
  <c r="CC33" i="6"/>
  <c r="CC34" i="6" s="1"/>
  <c r="CC35" i="6" s="1"/>
  <c r="CC36" i="6" s="1"/>
  <c r="CC37" i="6" s="1"/>
  <c r="CC38" i="6" s="1"/>
  <c r="CC39" i="6" s="1"/>
  <c r="CC40" i="6" s="1"/>
  <c r="CC41" i="6" s="1"/>
  <c r="CC42" i="6" s="1"/>
  <c r="CC43" i="6" s="1"/>
  <c r="CB33" i="6"/>
  <c r="CB34" i="6" s="1"/>
  <c r="CB35" i="6" s="1"/>
  <c r="CB36" i="6" s="1"/>
  <c r="CB37" i="6" s="1"/>
  <c r="CB38" i="6" s="1"/>
  <c r="CB39" i="6" s="1"/>
  <c r="CB40" i="6" s="1"/>
  <c r="CB41" i="6" s="1"/>
  <c r="CB42" i="6" s="1"/>
  <c r="CB43" i="6" s="1"/>
  <c r="BT33" i="6"/>
  <c r="BT34" i="6" s="1"/>
  <c r="BT35" i="6" s="1"/>
  <c r="BT36" i="6" s="1"/>
  <c r="BT37" i="6" s="1"/>
  <c r="BT38" i="6" s="1"/>
  <c r="BT39" i="6" s="1"/>
  <c r="BT40" i="6" s="1"/>
  <c r="BT41" i="6" s="1"/>
  <c r="BT42" i="6" s="1"/>
  <c r="BT43" i="6" s="1"/>
  <c r="BS33" i="6"/>
  <c r="BS34" i="6" s="1"/>
  <c r="BS35" i="6" s="1"/>
  <c r="BS36" i="6" s="1"/>
  <c r="BS37" i="6" s="1"/>
  <c r="BS38" i="6" s="1"/>
  <c r="BS39" i="6" s="1"/>
  <c r="BS40" i="6" s="1"/>
  <c r="BS41" i="6" s="1"/>
  <c r="BS42" i="6" s="1"/>
  <c r="BS43" i="6" s="1"/>
  <c r="BP36" i="6"/>
  <c r="BP37" i="6" s="1"/>
  <c r="BP38" i="6" s="1"/>
  <c r="BP39" i="6" s="1"/>
  <c r="BP40" i="6" s="1"/>
  <c r="BP41" i="6" s="1"/>
  <c r="BP42" i="6" s="1"/>
  <c r="BP43" i="6" s="1"/>
  <c r="BO33" i="6"/>
  <c r="BO34" i="6" s="1"/>
  <c r="BO35" i="6" s="1"/>
  <c r="BO36" i="6" s="1"/>
  <c r="BO37" i="6" s="1"/>
  <c r="BO38" i="6" s="1"/>
  <c r="BO39" i="6" s="1"/>
  <c r="BO40" i="6" s="1"/>
  <c r="BO41" i="6" s="1"/>
  <c r="BO42" i="6" s="1"/>
  <c r="BO43" i="6" s="1"/>
  <c r="BN33" i="6"/>
  <c r="BN34" i="6" s="1"/>
  <c r="BN35" i="6" s="1"/>
  <c r="BN36" i="6" s="1"/>
  <c r="BN37" i="6" s="1"/>
  <c r="BN38" i="6" s="1"/>
  <c r="BN39" i="6" s="1"/>
  <c r="BN40" i="6" s="1"/>
  <c r="BN41" i="6" s="1"/>
  <c r="BN42" i="6" s="1"/>
  <c r="BN43" i="6" s="1"/>
  <c r="BJ33" i="6"/>
  <c r="BJ34" i="6" s="1"/>
  <c r="BJ35" i="6" s="1"/>
  <c r="BJ36" i="6" s="1"/>
  <c r="BJ37" i="6" s="1"/>
  <c r="BJ38" i="6" s="1"/>
  <c r="BJ39" i="6" s="1"/>
  <c r="BJ40" i="6" s="1"/>
  <c r="BJ41" i="6" s="1"/>
  <c r="BJ42" i="6" s="1"/>
  <c r="BJ43" i="6" s="1"/>
  <c r="BI33" i="6"/>
  <c r="BI34" i="6" s="1"/>
  <c r="BI35" i="6" s="1"/>
  <c r="BI36" i="6" s="1"/>
  <c r="BI37" i="6" s="1"/>
  <c r="BI38" i="6" s="1"/>
  <c r="BI39" i="6" s="1"/>
  <c r="BI40" i="6" s="1"/>
  <c r="BI41" i="6" s="1"/>
  <c r="BI42" i="6" s="1"/>
  <c r="BI43" i="6" s="1"/>
  <c r="BH33" i="6"/>
  <c r="BH34" i="6" s="1"/>
  <c r="BH35" i="6" s="1"/>
  <c r="BH36" i="6" s="1"/>
  <c r="BH37" i="6" s="1"/>
  <c r="BH38" i="6" s="1"/>
  <c r="BH39" i="6" s="1"/>
  <c r="BH40" i="6" s="1"/>
  <c r="BH41" i="6" s="1"/>
  <c r="BH42" i="6" s="1"/>
  <c r="BH43" i="6" s="1"/>
  <c r="BF33" i="6"/>
  <c r="BF34" i="6" s="1"/>
  <c r="BF35" i="6" s="1"/>
  <c r="BF36" i="6" s="1"/>
  <c r="BF37" i="6" s="1"/>
  <c r="BF38" i="6" s="1"/>
  <c r="BF39" i="6" s="1"/>
  <c r="BF40" i="6" s="1"/>
  <c r="BF41" i="6" s="1"/>
  <c r="BF42" i="6" s="1"/>
  <c r="BF43" i="6" s="1"/>
  <c r="BB33" i="6"/>
  <c r="BB34" i="6" s="1"/>
  <c r="BB35" i="6" s="1"/>
  <c r="BB36" i="6" s="1"/>
  <c r="BB37" i="6" s="1"/>
  <c r="BB38" i="6" s="1"/>
  <c r="BB39" i="6" s="1"/>
  <c r="BB40" i="6" s="1"/>
  <c r="BB41" i="6" s="1"/>
  <c r="BB42" i="6" s="1"/>
  <c r="BB43" i="6" s="1"/>
  <c r="AX33" i="6"/>
  <c r="AX34" i="6" s="1"/>
  <c r="AX35" i="6" s="1"/>
  <c r="AX36" i="6" s="1"/>
  <c r="AX37" i="6" s="1"/>
  <c r="AX38" i="6" s="1"/>
  <c r="AX39" i="6" s="1"/>
  <c r="AX40" i="6" s="1"/>
  <c r="AX41" i="6" s="1"/>
  <c r="AX42" i="6" s="1"/>
  <c r="AX43" i="6" s="1"/>
  <c r="AW33" i="6"/>
  <c r="AW34" i="6" s="1"/>
  <c r="AW35" i="6" s="1"/>
  <c r="AW36" i="6" s="1"/>
  <c r="AW37" i="6" s="1"/>
  <c r="AW38" i="6" s="1"/>
  <c r="AW39" i="6" s="1"/>
  <c r="AW40" i="6" s="1"/>
  <c r="AW41" i="6" s="1"/>
  <c r="AW42" i="6" s="1"/>
  <c r="AW43" i="6" s="1"/>
  <c r="AV33" i="6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R37" i="6"/>
  <c r="AR38" i="6" s="1"/>
  <c r="AR39" i="6" s="1"/>
  <c r="AR40" i="6" s="1"/>
  <c r="AR41" i="6" s="1"/>
  <c r="AR42" i="6" s="1"/>
  <c r="AR43" i="6" s="1"/>
  <c r="AQ33" i="6"/>
  <c r="AQ34" i="6" s="1"/>
  <c r="AQ35" i="6" s="1"/>
  <c r="AQ36" i="6" s="1"/>
  <c r="AQ37" i="6" s="1"/>
  <c r="AQ38" i="6" s="1"/>
  <c r="AQ39" i="6" s="1"/>
  <c r="AQ40" i="6" s="1"/>
  <c r="AQ41" i="6" s="1"/>
  <c r="AQ42" i="6" s="1"/>
  <c r="AQ43" i="6" s="1"/>
  <c r="AO33" i="6"/>
  <c r="AO34" i="6" s="1"/>
  <c r="AO35" i="6" s="1"/>
  <c r="AO36" i="6" s="1"/>
  <c r="AO37" i="6" s="1"/>
  <c r="AO38" i="6" s="1"/>
  <c r="AO39" i="6" s="1"/>
  <c r="AO40" i="6" s="1"/>
  <c r="AO41" i="6" s="1"/>
  <c r="AO42" i="6" s="1"/>
  <c r="AO43" i="6" s="1"/>
  <c r="AM33" i="6"/>
  <c r="AM34" i="6" s="1"/>
  <c r="AM35" i="6" s="1"/>
  <c r="AM36" i="6" s="1"/>
  <c r="AM37" i="6" s="1"/>
  <c r="AM38" i="6" s="1"/>
  <c r="AM39" i="6" s="1"/>
  <c r="AM40" i="6" s="1"/>
  <c r="AM41" i="6" s="1"/>
  <c r="AM42" i="6" s="1"/>
  <c r="AM43" i="6" s="1"/>
  <c r="AL33" i="6"/>
  <c r="AL34" i="6" s="1"/>
  <c r="AL35" i="6" s="1"/>
  <c r="AL36" i="6" s="1"/>
  <c r="AL37" i="6" s="1"/>
  <c r="AL38" i="6" s="1"/>
  <c r="AL39" i="6" s="1"/>
  <c r="AL40" i="6" s="1"/>
  <c r="AL41" i="6" s="1"/>
  <c r="AL42" i="6" s="1"/>
  <c r="AL43" i="6" s="1"/>
  <c r="AA20" i="6"/>
  <c r="AA87" i="6"/>
  <c r="Q33" i="6"/>
  <c r="Q34" i="6" s="1"/>
  <c r="P33" i="6"/>
  <c r="P34" i="6" s="1"/>
  <c r="P35" i="6" s="1"/>
  <c r="P36" i="6" s="1"/>
  <c r="P37" i="6" s="1"/>
  <c r="P38" i="6"/>
  <c r="P39" i="6" s="1"/>
  <c r="P40" i="6" s="1"/>
  <c r="P41" i="6" s="1"/>
  <c r="P42" i="6" s="1"/>
  <c r="P43" i="6" s="1"/>
  <c r="R19" i="6"/>
  <c r="R32" i="6" s="1"/>
  <c r="R23" i="6"/>
  <c r="R27" i="6"/>
  <c r="R20" i="6"/>
  <c r="R24" i="6"/>
  <c r="R28" i="6"/>
  <c r="R26" i="6"/>
  <c r="R29" i="6"/>
  <c r="R21" i="6"/>
  <c r="R30" i="6"/>
  <c r="R22" i="6"/>
  <c r="R25" i="6"/>
  <c r="O19" i="6"/>
  <c r="O32" i="6" s="1"/>
  <c r="O23" i="6"/>
  <c r="O27" i="6"/>
  <c r="O24" i="6"/>
  <c r="O29" i="6"/>
  <c r="O26" i="6"/>
  <c r="O22" i="6"/>
  <c r="O28" i="6"/>
  <c r="O20" i="6"/>
  <c r="O25" i="6"/>
  <c r="O30" i="6"/>
  <c r="O21" i="6"/>
  <c r="N33" i="6"/>
  <c r="N34" i="6" s="1"/>
  <c r="N35" i="6" s="1"/>
  <c r="N36" i="6" s="1"/>
  <c r="N37" i="6" s="1"/>
  <c r="N38" i="6" s="1"/>
  <c r="N39" i="6" s="1"/>
  <c r="N40" i="6" s="1"/>
  <c r="N41" i="6" s="1"/>
  <c r="N42" i="6" s="1"/>
  <c r="N43" i="6" s="1"/>
  <c r="Q35" i="6"/>
  <c r="Q36" i="6" s="1"/>
  <c r="Q37" i="6" s="1"/>
  <c r="Q38" i="6" s="1"/>
  <c r="Q39" i="6" s="1"/>
  <c r="Q40" i="6" s="1"/>
  <c r="Q41" i="6" s="1"/>
  <c r="Q42" i="6" s="1"/>
  <c r="Q43" i="6" s="1"/>
  <c r="U19" i="6"/>
  <c r="U32" i="6" s="1"/>
  <c r="U23" i="6"/>
  <c r="U27" i="6"/>
  <c r="U21" i="6"/>
  <c r="U26" i="6"/>
  <c r="U22" i="6"/>
  <c r="U28" i="6"/>
  <c r="U20" i="6"/>
  <c r="U30" i="6"/>
  <c r="U24" i="6"/>
  <c r="U29" i="6"/>
  <c r="U25" i="6"/>
  <c r="V33" i="6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Y33" i="6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S33" i="6"/>
  <c r="S34" i="6" s="1"/>
  <c r="S35" i="6" s="1"/>
  <c r="S36" i="6" s="1"/>
  <c r="S37" i="6" s="1"/>
  <c r="S38" i="6" s="1"/>
  <c r="S39" i="6" s="1"/>
  <c r="S40" i="6" s="1"/>
  <c r="S41" i="6" s="1"/>
  <c r="S42" i="6" s="1"/>
  <c r="S43" i="6" s="1"/>
  <c r="E33" i="6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AE22" i="6" l="1"/>
  <c r="AE23" i="6"/>
  <c r="AE28" i="6"/>
  <c r="AE26" i="6"/>
  <c r="AE27" i="6"/>
  <c r="AE21" i="6"/>
  <c r="AE30" i="6"/>
  <c r="AE20" i="6"/>
  <c r="AE25" i="6"/>
  <c r="AE19" i="6"/>
  <c r="AE32" i="6" s="1"/>
  <c r="AE24" i="6"/>
  <c r="AE29" i="6"/>
  <c r="AD22" i="6"/>
  <c r="AD23" i="6"/>
  <c r="AD28" i="6"/>
  <c r="AD26" i="6"/>
  <c r="AD27" i="6"/>
  <c r="AD21" i="6"/>
  <c r="AD30" i="6"/>
  <c r="AD20" i="6"/>
  <c r="AD25" i="6"/>
  <c r="AD19" i="6"/>
  <c r="AD32" i="6" s="1"/>
  <c r="AD24" i="6"/>
  <c r="AD29" i="6"/>
  <c r="AJ19" i="6" a="1"/>
  <c r="AJ28" i="6" s="1"/>
  <c r="AI18" i="6"/>
  <c r="AI56" i="6" s="1"/>
  <c r="H18" i="6"/>
  <c r="H56" i="6" s="1"/>
  <c r="H19" i="6" a="1"/>
  <c r="AI19" i="6" a="1"/>
  <c r="AJ18" i="6"/>
  <c r="AJ56" i="6" s="1"/>
  <c r="AA21" i="6"/>
  <c r="AA89" i="6" s="1"/>
  <c r="AA88" i="6"/>
  <c r="R33" i="6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O33" i="6"/>
  <c r="O34" i="6" s="1"/>
  <c r="O35" i="6" s="1"/>
  <c r="O36" i="6" s="1"/>
  <c r="O37" i="6" s="1"/>
  <c r="O38" i="6" s="1"/>
  <c r="O39" i="6" s="1"/>
  <c r="O40" i="6" s="1"/>
  <c r="O41" i="6" s="1"/>
  <c r="O42" i="6" s="1"/>
  <c r="O43" i="6" s="1"/>
  <c r="U33" i="6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AJ27" i="6" l="1"/>
  <c r="AD33" i="6"/>
  <c r="AD34" i="6" s="1"/>
  <c r="AD35" i="6" s="1"/>
  <c r="AD36" i="6" s="1"/>
  <c r="AD37" i="6" s="1"/>
  <c r="AD38" i="6" s="1"/>
  <c r="AD39" i="6" s="1"/>
  <c r="AD40" i="6" s="1"/>
  <c r="AD41" i="6" s="1"/>
  <c r="AD42" i="6" s="1"/>
  <c r="AD43" i="6" s="1"/>
  <c r="AE33" i="6"/>
  <c r="AE34" i="6" s="1"/>
  <c r="AE35" i="6" s="1"/>
  <c r="AE36" i="6" s="1"/>
  <c r="AE37" i="6" s="1"/>
  <c r="AE38" i="6" s="1"/>
  <c r="AE39" i="6" s="1"/>
  <c r="AE40" i="6" s="1"/>
  <c r="AE41" i="6" s="1"/>
  <c r="AE42" i="6" s="1"/>
  <c r="AE43" i="6" s="1"/>
  <c r="AJ22" i="6"/>
  <c r="AJ20" i="6"/>
  <c r="AJ30" i="6"/>
  <c r="AJ25" i="6"/>
  <c r="AJ21" i="6"/>
  <c r="AJ29" i="6"/>
  <c r="AJ23" i="6"/>
  <c r="AJ19" i="6"/>
  <c r="AJ32" i="6" s="1"/>
  <c r="AJ24" i="6"/>
  <c r="AJ26" i="6"/>
  <c r="AI19" i="6"/>
  <c r="AI32" i="6" s="1"/>
  <c r="AI24" i="6"/>
  <c r="AI29" i="6"/>
  <c r="AI22" i="6"/>
  <c r="AI23" i="6"/>
  <c r="AI28" i="6"/>
  <c r="AI26" i="6"/>
  <c r="AI27" i="6"/>
  <c r="AI21" i="6"/>
  <c r="AI30" i="6"/>
  <c r="AI20" i="6"/>
  <c r="AI25" i="6"/>
  <c r="H21" i="6"/>
  <c r="H26" i="6"/>
  <c r="H24" i="6"/>
  <c r="H30" i="6"/>
  <c r="H25" i="6"/>
  <c r="H19" i="6"/>
  <c r="H32" i="6" s="1"/>
  <c r="H33" i="6" s="1"/>
  <c r="H34" i="6" s="1"/>
  <c r="H28" i="6"/>
  <c r="H27" i="6"/>
  <c r="H20" i="6"/>
  <c r="H29" i="6"/>
  <c r="H23" i="6"/>
  <c r="H22" i="6"/>
  <c r="AA22" i="6"/>
  <c r="AA90" i="6" s="1"/>
  <c r="H35" i="6" l="1"/>
  <c r="H36" i="6" s="1"/>
  <c r="H37" i="6" s="1"/>
  <c r="H38" i="6" s="1"/>
  <c r="H39" i="6" s="1"/>
  <c r="H40" i="6" s="1"/>
  <c r="H41" i="6" s="1"/>
  <c r="H42" i="6" s="1"/>
  <c r="H43" i="6" s="1"/>
  <c r="AJ33" i="6"/>
  <c r="AJ34" i="6" s="1"/>
  <c r="AJ35" i="6" s="1"/>
  <c r="AJ36" i="6" s="1"/>
  <c r="AJ37" i="6" s="1"/>
  <c r="AJ38" i="6" s="1"/>
  <c r="AJ39" i="6" s="1"/>
  <c r="AJ40" i="6" s="1"/>
  <c r="AJ41" i="6" s="1"/>
  <c r="AJ42" i="6" s="1"/>
  <c r="AJ43" i="6" s="1"/>
  <c r="AI33" i="6"/>
  <c r="AI34" i="6" s="1"/>
  <c r="AI35" i="6" s="1"/>
  <c r="AI36" i="6" s="1"/>
  <c r="AI37" i="6" s="1"/>
  <c r="AI38" i="6" s="1"/>
  <c r="AI39" i="6" s="1"/>
  <c r="AI40" i="6" s="1"/>
  <c r="AI41" i="6" s="1"/>
  <c r="AI42" i="6" s="1"/>
  <c r="AI43" i="6" s="1"/>
  <c r="AA23" i="6"/>
  <c r="AA24" i="6" l="1"/>
  <c r="AA92" i="6" s="1"/>
  <c r="AA91" i="6"/>
  <c r="AA25" i="6" l="1"/>
  <c r="AA93" i="6" s="1"/>
  <c r="AA26" i="6" l="1"/>
  <c r="AA94" i="6" s="1"/>
  <c r="AA27" i="6" l="1"/>
  <c r="AA95" i="6" s="1"/>
  <c r="AA28" i="6" l="1"/>
  <c r="AA96" i="6" s="1"/>
  <c r="AA29" i="6" a="1"/>
  <c r="Z19" i="6" a="1"/>
  <c r="AA32" i="6" l="1"/>
  <c r="AA36" i="6"/>
  <c r="AA40" i="6"/>
  <c r="AA44" i="6"/>
  <c r="AA48" i="6"/>
  <c r="AA29" i="6"/>
  <c r="AA52" i="6" s="1"/>
  <c r="AA33" i="6"/>
  <c r="AA37" i="6"/>
  <c r="AA41" i="6"/>
  <c r="AA45" i="6"/>
  <c r="AA49" i="6"/>
  <c r="AA30" i="6"/>
  <c r="AA34" i="6"/>
  <c r="AA38" i="6"/>
  <c r="AA46" i="6"/>
  <c r="AA31" i="6"/>
  <c r="AA35" i="6"/>
  <c r="AA39" i="6"/>
  <c r="AA43" i="6"/>
  <c r="AA47" i="6"/>
  <c r="AA42" i="6"/>
  <c r="AA50" i="6"/>
  <c r="Z30" i="6"/>
  <c r="Z20" i="6"/>
  <c r="Z25" i="6"/>
  <c r="Z19" i="6"/>
  <c r="Z32" i="6" s="1"/>
  <c r="Z24" i="6"/>
  <c r="Z29" i="6"/>
  <c r="Z22" i="6"/>
  <c r="Z23" i="6"/>
  <c r="Z28" i="6"/>
  <c r="Z26" i="6"/>
  <c r="Z27" i="6"/>
  <c r="Z21" i="6"/>
  <c r="Z33" i="6" l="1"/>
  <c r="Z34" i="6" s="1"/>
  <c r="Z35" i="6" s="1"/>
  <c r="Z36" i="6" s="1"/>
  <c r="Z37" i="6" s="1"/>
  <c r="Z38" i="6" s="1"/>
  <c r="Z39" i="6" s="1"/>
  <c r="Z40" i="6" s="1"/>
  <c r="Z41" i="6" s="1"/>
  <c r="Z42" i="6" s="1"/>
  <c r="Z43" i="6" s="1"/>
  <c r="AA53" i="6"/>
  <c r="AA54" i="6" s="1"/>
  <c r="AA55" i="6" s="1"/>
  <c r="AA56" i="6" s="1"/>
  <c r="AA57" i="6" s="1"/>
  <c r="AA58" i="6" s="1"/>
  <c r="AA59" i="6" s="1"/>
  <c r="AA60" i="6" s="1"/>
  <c r="AA61" i="6" s="1"/>
  <c r="AA62" i="6" s="1"/>
  <c r="AA63" i="6" s="1"/>
  <c r="AA64" i="6" s="1"/>
  <c r="AA65" i="6" s="1"/>
  <c r="AA66" i="6" s="1"/>
  <c r="AA67" i="6" s="1"/>
  <c r="AA68" i="6" s="1"/>
  <c r="AA69" i="6" s="1"/>
  <c r="AA70" i="6" s="1"/>
  <c r="AA71" i="6" s="1"/>
  <c r="AA72" i="6" s="1"/>
  <c r="AA73" i="6" s="1"/>
</calcChain>
</file>

<file path=xl/sharedStrings.xml><?xml version="1.0" encoding="utf-8"?>
<sst xmlns="http://schemas.openxmlformats.org/spreadsheetml/2006/main" count="401" uniqueCount="205">
  <si>
    <t>Time Plot - vRunning Constant Ao (All Reps)</t>
  </si>
  <si>
    <t>Months</t>
  </si>
  <si>
    <t>Trials</t>
  </si>
  <si>
    <t>Pay by Quarters - Pure</t>
  </si>
  <si>
    <t>Average</t>
  </si>
  <si>
    <t>Pay qtrly by 6 month running average</t>
  </si>
  <si>
    <t>Monthly</t>
  </si>
  <si>
    <t>Quarterly</t>
  </si>
  <si>
    <t>Qtr</t>
  </si>
  <si>
    <t>Award Fee</t>
  </si>
  <si>
    <t>Total</t>
  </si>
  <si>
    <t>Average Performance</t>
  </si>
  <si>
    <t>Performance Distribution</t>
  </si>
  <si>
    <t>Award Fee Distribution</t>
  </si>
  <si>
    <t>Qtrly Award Fee</t>
  </si>
  <si>
    <t>Q_1</t>
  </si>
  <si>
    <t>Q_2</t>
  </si>
  <si>
    <t>Q_3</t>
  </si>
  <si>
    <t>Q_4</t>
  </si>
  <si>
    <t>Q_5</t>
  </si>
  <si>
    <t>Q_6</t>
  </si>
  <si>
    <t>Q_7</t>
  </si>
  <si>
    <t>Q_8</t>
  </si>
  <si>
    <t>Q_9</t>
  </si>
  <si>
    <t>Q_10</t>
  </si>
  <si>
    <t>Q_11</t>
  </si>
  <si>
    <t>Q_12</t>
  </si>
  <si>
    <t>Generated with the SIPmath™ Modeling Tools from ProbabilityManagement.org</t>
  </si>
  <si>
    <t>Index</t>
  </si>
  <si>
    <t>Values</t>
  </si>
  <si>
    <t>Decimal Places</t>
  </si>
  <si>
    <t>Offset</t>
  </si>
  <si>
    <t>AWF Q 1</t>
  </si>
  <si>
    <t>AWF Q 2</t>
  </si>
  <si>
    <t>AWF Q 3</t>
  </si>
  <si>
    <t>AWF Q 4</t>
  </si>
  <si>
    <t>AWF Q 5</t>
  </si>
  <si>
    <t>AWF Q 6</t>
  </si>
  <si>
    <t>AWF Q 7</t>
  </si>
  <si>
    <t>AWF Q 8</t>
  </si>
  <si>
    <t>AWF Q 9</t>
  </si>
  <si>
    <t>AWF Q 10</t>
  </si>
  <si>
    <t>AWF Q 11</t>
  </si>
  <si>
    <t>AWF Q 12</t>
  </si>
  <si>
    <t>AWF_Q_12</t>
  </si>
  <si>
    <t>AWF_Q_11</t>
  </si>
  <si>
    <t>AWF_Q_10</t>
  </si>
  <si>
    <t>AWF_Q_9</t>
  </si>
  <si>
    <t>AWF_Q_8</t>
  </si>
  <si>
    <t>AWF_Q_7</t>
  </si>
  <si>
    <t>AWF_Q_6</t>
  </si>
  <si>
    <t>AWF_Q_5</t>
  </si>
  <si>
    <t>AWF_Q_4</t>
  </si>
  <si>
    <t>AWF_Q_3</t>
  </si>
  <si>
    <t>AWF_Q_2</t>
  </si>
  <si>
    <t>AWF_Q_1</t>
  </si>
  <si>
    <t>Total Quartery Award Fee</t>
  </si>
  <si>
    <t>Total_Quartery_Award_Fee</t>
  </si>
  <si>
    <t>RQ_1</t>
  </si>
  <si>
    <t>RAWF Q 1</t>
  </si>
  <si>
    <t>RAWF Q 2</t>
  </si>
  <si>
    <t>RAWF Q 3</t>
  </si>
  <si>
    <t>RAWF Q 4</t>
  </si>
  <si>
    <t>RAWF Q 5</t>
  </si>
  <si>
    <t>RAWF Q 6</t>
  </si>
  <si>
    <t>RAWF Q 7</t>
  </si>
  <si>
    <t>RAWF Q 8</t>
  </si>
  <si>
    <t>RAWF Q 9</t>
  </si>
  <si>
    <t>RAWF Q 10</t>
  </si>
  <si>
    <t>RAWF Q 11</t>
  </si>
  <si>
    <t>RAWF Q 12</t>
  </si>
  <si>
    <t>Total Roling Qtrly Awrd Fee</t>
  </si>
  <si>
    <t>RQ_2</t>
  </si>
  <si>
    <t>RQ_3</t>
  </si>
  <si>
    <t>RQ_4</t>
  </si>
  <si>
    <t>RQ_5</t>
  </si>
  <si>
    <t>RQ_6</t>
  </si>
  <si>
    <t>RQ_7</t>
  </si>
  <si>
    <t>RQ_8</t>
  </si>
  <si>
    <t>RQ_9</t>
  </si>
  <si>
    <t>RQ_10</t>
  </si>
  <si>
    <t>RQ_11</t>
  </si>
  <si>
    <t>RQ_12</t>
  </si>
  <si>
    <t>Total_Roling_Qtrly_Awrd_Fee</t>
  </si>
  <si>
    <t>AWM 1</t>
  </si>
  <si>
    <t>AWM 2</t>
  </si>
  <si>
    <t>AWM 3</t>
  </si>
  <si>
    <t>AWM 4</t>
  </si>
  <si>
    <t>AWM 5</t>
  </si>
  <si>
    <t>AWM 6</t>
  </si>
  <si>
    <t>AWM 7</t>
  </si>
  <si>
    <t>AWM 8</t>
  </si>
  <si>
    <t>AWM 9</t>
  </si>
  <si>
    <t>AWM 10</t>
  </si>
  <si>
    <t>AWM 11</t>
  </si>
  <si>
    <t>AWM 12</t>
  </si>
  <si>
    <t>AWM 13</t>
  </si>
  <si>
    <t>AWM 14</t>
  </si>
  <si>
    <t>AWM 15</t>
  </si>
  <si>
    <t>AWM 16</t>
  </si>
  <si>
    <t>AWM 17</t>
  </si>
  <si>
    <t>AWM 18</t>
  </si>
  <si>
    <t>AWM 19</t>
  </si>
  <si>
    <t>AWM 20</t>
  </si>
  <si>
    <t>AWM 21</t>
  </si>
  <si>
    <t>AWM 22</t>
  </si>
  <si>
    <t>AWM 23</t>
  </si>
  <si>
    <t>AWM 24</t>
  </si>
  <si>
    <t>AWM 25</t>
  </si>
  <si>
    <t>AWM 26</t>
  </si>
  <si>
    <t>AWM 27</t>
  </si>
  <si>
    <t>AWM 28</t>
  </si>
  <si>
    <t>AWM 29</t>
  </si>
  <si>
    <t>AWM 30</t>
  </si>
  <si>
    <t>AWM 31</t>
  </si>
  <si>
    <t>AWM 32</t>
  </si>
  <si>
    <t>AWM 33</t>
  </si>
  <si>
    <t>AWM 34</t>
  </si>
  <si>
    <t>AWM 35</t>
  </si>
  <si>
    <t>AWM 36</t>
  </si>
  <si>
    <t>Total Monthly Award Fee</t>
  </si>
  <si>
    <t>M_1</t>
  </si>
  <si>
    <t>M_2</t>
  </si>
  <si>
    <t>M_3</t>
  </si>
  <si>
    <t>M_4</t>
  </si>
  <si>
    <t>M_5</t>
  </si>
  <si>
    <t>M_6</t>
  </si>
  <si>
    <t>M_7</t>
  </si>
  <si>
    <t>M_8</t>
  </si>
  <si>
    <t>M_9</t>
  </si>
  <si>
    <t>M_10</t>
  </si>
  <si>
    <t>M_11</t>
  </si>
  <si>
    <t>M_12</t>
  </si>
  <si>
    <t>M_13</t>
  </si>
  <si>
    <t>M_14</t>
  </si>
  <si>
    <t>M_15</t>
  </si>
  <si>
    <t>M_16</t>
  </si>
  <si>
    <t>M_17</t>
  </si>
  <si>
    <t>M_18</t>
  </si>
  <si>
    <t>M_19</t>
  </si>
  <si>
    <t>M_20</t>
  </si>
  <si>
    <t>M_21</t>
  </si>
  <si>
    <t>M_22</t>
  </si>
  <si>
    <t>M_23</t>
  </si>
  <si>
    <t>M_24</t>
  </si>
  <si>
    <t>M_25</t>
  </si>
  <si>
    <t>M_26</t>
  </si>
  <si>
    <t>M_27</t>
  </si>
  <si>
    <t>M_28</t>
  </si>
  <si>
    <t>M_29</t>
  </si>
  <si>
    <t>M_30</t>
  </si>
  <si>
    <t>M_31</t>
  </si>
  <si>
    <t>M_32</t>
  </si>
  <si>
    <t>M_33</t>
  </si>
  <si>
    <t>M_34</t>
  </si>
  <si>
    <t>M_35</t>
  </si>
  <si>
    <t>M_36</t>
  </si>
  <si>
    <t>Total_Monthly_Award_Fee</t>
  </si>
  <si>
    <t>Monthly Award</t>
  </si>
  <si>
    <t>Rolling Quarterly</t>
  </si>
  <si>
    <t>Average Award Fee Received</t>
  </si>
  <si>
    <t>Max Award Fee Received</t>
  </si>
  <si>
    <t>Min Award Fee Received</t>
  </si>
  <si>
    <t>Threshold Award Fee Received</t>
  </si>
  <si>
    <t>Trial Award Fee Received</t>
  </si>
  <si>
    <t>Total Three Year Award Fee Maximum (Millions $)</t>
  </si>
  <si>
    <t>Three Year Composite</t>
  </si>
  <si>
    <t>Three Year Average</t>
  </si>
  <si>
    <t>TYA AF</t>
  </si>
  <si>
    <t>Three_Year_Average</t>
  </si>
  <si>
    <t>TYA_AF</t>
  </si>
  <si>
    <t>Objective Award Fee Received</t>
  </si>
  <si>
    <t>Threshold Award Fee Level (Millions $)</t>
  </si>
  <si>
    <t>Objective Award Fee Level (Millions $)</t>
  </si>
  <si>
    <t>Trial</t>
  </si>
  <si>
    <t>Total Three Year Award Fee Received based on AA Computation Method Comparative Analysis</t>
  </si>
  <si>
    <t>Trial Average Availability</t>
  </si>
  <si>
    <t>Monthly Max</t>
  </si>
  <si>
    <t>Monthly Min</t>
  </si>
  <si>
    <t>Monthly Span</t>
  </si>
  <si>
    <t>Quarterly Method Award Fee Received</t>
  </si>
  <si>
    <t>Qtrly Max</t>
  </si>
  <si>
    <t>Qtrly Min</t>
  </si>
  <si>
    <t>Rqtrly Max</t>
  </si>
  <si>
    <t>Rqtrly Min</t>
  </si>
  <si>
    <t>Rqtrly Span</t>
  </si>
  <si>
    <t>Qtrly Span</t>
  </si>
  <si>
    <t>TY Max</t>
  </si>
  <si>
    <t xml:space="preserve">TY Min </t>
  </si>
  <si>
    <t>TY Span</t>
  </si>
  <si>
    <t>Aircraft Availability</t>
  </si>
  <si>
    <t>Up Time/Total Time</t>
  </si>
  <si>
    <t>Up Time</t>
  </si>
  <si>
    <t>MTBF</t>
  </si>
  <si>
    <t>Down Time</t>
  </si>
  <si>
    <t>MTTR</t>
  </si>
  <si>
    <t>Total Time</t>
  </si>
  <si>
    <t>MTBF+MTTR</t>
  </si>
  <si>
    <t>Aircraft Availability =</t>
  </si>
  <si>
    <t>hours</t>
  </si>
  <si>
    <t>So, if you get an award fee at 77% or better, and the award fee is $65M, how much will you get?</t>
  </si>
  <si>
    <t>Expected</t>
  </si>
  <si>
    <t>Award Fee Theshold AA Value (%)</t>
  </si>
  <si>
    <t>Award Fee Forecasting</t>
  </si>
  <si>
    <t>ALL DATA IS NOTIONAL AND FOR INSTRUCTIONAL AND ILLUSTRATIVE PURPOSES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</si>
</sst>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0.000"/>
  </numFmts>
  <fonts count="8" x14ac:knownFonts="1">
    <font>
      <sz val="10"/>
      <name val="Tahoma"/>
    </font>
    <font>
      <sz val="10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/>
      <name val="Tahoma"/>
      <family val="2"/>
    </font>
    <font>
      <b/>
      <sz val="16"/>
      <name val="Tahoma"/>
      <family val="2"/>
    </font>
    <font>
      <b/>
      <sz val="22"/>
      <name val="Tahoma"/>
      <family val="2"/>
    </font>
    <font>
      <sz val="22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ck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61">
    <xf numFmtId="0" fontId="0" fillId="0" borderId="0" xfId="0"/>
    <xf numFmtId="49" fontId="0" fillId="0" borderId="0" xfId="0" applyNumberFormat="1" applyAlignment="1">
      <alignment horizontal="left"/>
    </xf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164" fontId="0" fillId="0" borderId="0" xfId="0" applyNumberFormat="1"/>
    <xf numFmtId="10" fontId="0" fillId="0" borderId="0" xfId="1" applyNumberFormat="1" applyFont="1"/>
    <xf numFmtId="0" fontId="0" fillId="2" borderId="0" xfId="0" applyFill="1"/>
    <xf numFmtId="2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/>
    <xf numFmtId="2" fontId="0" fillId="0" borderId="3" xfId="0" applyNumberFormat="1" applyBorder="1"/>
    <xf numFmtId="0" fontId="0" fillId="2" borderId="4" xfId="0" applyFill="1" applyBorder="1"/>
    <xf numFmtId="0" fontId="0" fillId="2" borderId="6" xfId="0" applyFill="1" applyBorder="1"/>
    <xf numFmtId="0" fontId="0" fillId="3" borderId="5" xfId="0" applyFill="1" applyBorder="1"/>
    <xf numFmtId="0" fontId="0" fillId="3" borderId="7" xfId="0" applyFill="1" applyBorder="1"/>
    <xf numFmtId="2" fontId="1" fillId="0" borderId="0" xfId="0" applyNumberFormat="1" applyFont="1" applyBorder="1" applyAlignment="1">
      <alignment horizontal="center" vertical="center"/>
    </xf>
    <xf numFmtId="0" fontId="0" fillId="4" borderId="0" xfId="0" applyFill="1"/>
    <xf numFmtId="0" fontId="1" fillId="4" borderId="0" xfId="0" applyFont="1" applyFill="1"/>
    <xf numFmtId="0" fontId="0" fillId="5" borderId="0" xfId="0" applyFill="1" applyBorder="1"/>
    <xf numFmtId="0" fontId="0" fillId="5" borderId="9" xfId="0" applyFill="1" applyBorder="1"/>
    <xf numFmtId="0" fontId="4" fillId="5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right"/>
    </xf>
    <xf numFmtId="0" fontId="5" fillId="5" borderId="0" xfId="0" applyFont="1" applyFill="1" applyBorder="1" applyAlignment="1">
      <alignment horizontal="left"/>
    </xf>
    <xf numFmtId="0" fontId="1" fillId="5" borderId="0" xfId="0" applyFont="1" applyFill="1" applyBorder="1" applyAlignment="1">
      <alignment vertical="center"/>
    </xf>
    <xf numFmtId="0" fontId="0" fillId="5" borderId="8" xfId="0" applyFill="1" applyBorder="1"/>
    <xf numFmtId="0" fontId="1" fillId="5" borderId="0" xfId="0" applyFont="1" applyFill="1" applyBorder="1"/>
    <xf numFmtId="0" fontId="0" fillId="5" borderId="10" xfId="0" applyFill="1" applyBorder="1"/>
    <xf numFmtId="0" fontId="1" fillId="5" borderId="11" xfId="0" applyFont="1" applyFill="1" applyBorder="1"/>
    <xf numFmtId="0" fontId="0" fillId="5" borderId="11" xfId="0" applyFill="1" applyBorder="1"/>
    <xf numFmtId="0" fontId="0" fillId="5" borderId="12" xfId="0" applyFill="1" applyBorder="1"/>
    <xf numFmtId="0" fontId="5" fillId="6" borderId="1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5" fillId="7" borderId="14" xfId="0" applyFont="1" applyFill="1" applyBorder="1" applyAlignment="1">
      <alignment horizontal="right"/>
    </xf>
    <xf numFmtId="0" fontId="0" fillId="7" borderId="15" xfId="0" applyFill="1" applyBorder="1"/>
    <xf numFmtId="9" fontId="0" fillId="0" borderId="0" xfId="1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6" fillId="5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5" fontId="5" fillId="6" borderId="16" xfId="2" applyNumberFormat="1" applyFont="1" applyFill="1" applyBorder="1" applyAlignment="1">
      <alignment horizontal="center" vertical="top"/>
    </xf>
    <xf numFmtId="5" fontId="5" fillId="6" borderId="18" xfId="2" applyNumberFormat="1" applyFont="1" applyFill="1" applyBorder="1" applyAlignment="1">
      <alignment horizontal="center" vertical="top"/>
    </xf>
    <xf numFmtId="0" fontId="5" fillId="6" borderId="0" xfId="0" applyFont="1" applyFill="1" applyBorder="1" applyAlignment="1">
      <alignment horizontal="center" vertical="top"/>
    </xf>
    <xf numFmtId="0" fontId="5" fillId="6" borderId="19" xfId="0" applyFont="1" applyFill="1" applyBorder="1" applyAlignment="1">
      <alignment horizontal="center" vertical="top"/>
    </xf>
    <xf numFmtId="5" fontId="5" fillId="6" borderId="0" xfId="2" applyNumberFormat="1" applyFont="1" applyFill="1" applyBorder="1" applyAlignment="1">
      <alignment horizontal="center" vertical="top"/>
    </xf>
    <xf numFmtId="5" fontId="5" fillId="6" borderId="19" xfId="2" applyNumberFormat="1" applyFont="1" applyFill="1" applyBorder="1" applyAlignment="1">
      <alignment horizontal="center" vertical="top"/>
    </xf>
    <xf numFmtId="5" fontId="5" fillId="6" borderId="21" xfId="2" applyNumberFormat="1" applyFont="1" applyFill="1" applyBorder="1" applyAlignment="1">
      <alignment horizontal="center" vertical="top"/>
    </xf>
    <xf numFmtId="5" fontId="5" fillId="6" borderId="22" xfId="2" applyNumberFormat="1" applyFont="1" applyFill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7" fillId="8" borderId="23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5" xfId="0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Method Award Fee Received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17640055409740449"/>
          <c:w val="0.87635870516185477"/>
          <c:h val="0.707619568387284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cat>
            <c:numRef>
              <c:f>'SIPmath Chart Data'!$CF$7:$CF$16</c:f>
              <c:numCache>
                <c:formatCode>General</c:formatCode>
                <c:ptCount val="10"/>
                <c:pt idx="0">
                  <c:v>46</c:v>
                </c:pt>
                <c:pt idx="1">
                  <c:v>48</c:v>
                </c:pt>
                <c:pt idx="2">
                  <c:v>50</c:v>
                </c:pt>
                <c:pt idx="3">
                  <c:v>52</c:v>
                </c:pt>
                <c:pt idx="4">
                  <c:v>54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64</c:v>
                </c:pt>
              </c:numCache>
            </c:numRef>
          </c:cat>
          <c:val>
            <c:numRef>
              <c:f>'SIPmath Chart Data'!$CF$19:$CF$28</c:f>
              <c:numCache>
                <c:formatCode>General</c:formatCode>
                <c:ptCount val="1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0.08</c:v>
                </c:pt>
                <c:pt idx="4">
                  <c:v>0.17</c:v>
                </c:pt>
                <c:pt idx="5">
                  <c:v>0.27</c:v>
                </c:pt>
                <c:pt idx="6">
                  <c:v>0.17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09118976"/>
        <c:axId val="109120512"/>
      </c:barChart>
      <c:catAx>
        <c:axId val="10911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120512"/>
        <c:crosses val="autoZero"/>
        <c:auto val="1"/>
        <c:lblAlgn val="ctr"/>
        <c:lblOffset val="100"/>
        <c:noMultiLvlLbl val="0"/>
      </c:catAx>
      <c:valAx>
        <c:axId val="10912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118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Quarterly</a:t>
            </a:r>
            <a:r>
              <a:rPr lang="en-US" baseline="0"/>
              <a:t> Method Award Fee Received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1806722076407115"/>
          <c:w val="0.87635870516185477"/>
          <c:h val="0.6659529017206182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'SIPmath Chart Data'!$CG$7:$CG$17</c:f>
              <c:numCache>
                <c:formatCode>General</c:formatCode>
                <c:ptCount val="1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</c:numCache>
            </c:numRef>
          </c:cat>
          <c:val>
            <c:numRef>
              <c:f>'SIPmath Chart Data'!$CG$19:$CG$29</c:f>
              <c:numCache>
                <c:formatCode>General</c:formatCode>
                <c:ptCount val="11"/>
                <c:pt idx="0">
                  <c:v>0.04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09148800"/>
        <c:axId val="109404544"/>
      </c:barChart>
      <c:catAx>
        <c:axId val="10914880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800" b="1"/>
            </a:pPr>
            <a:endParaRPr lang="en-US"/>
          </a:p>
        </c:txPr>
        <c:crossAx val="109404544"/>
        <c:crosses val="autoZero"/>
        <c:auto val="1"/>
        <c:lblAlgn val="ctr"/>
        <c:lblOffset val="100"/>
        <c:noMultiLvlLbl val="0"/>
      </c:catAx>
      <c:valAx>
        <c:axId val="109404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148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Three Year Cumulative Method Award Fee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25510425780110818"/>
          <c:w val="0.8904420384951881"/>
          <c:h val="0.62891586468358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cat>
            <c:numRef>
              <c:f>'SIPmath Chart Data'!$CI$7:$CI$17</c:f>
              <c:numCache>
                <c:formatCode>General</c:formatCode>
                <c:ptCount val="1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</c:numCache>
            </c:numRef>
          </c:cat>
          <c:val>
            <c:numRef>
              <c:f>'SIPmath Chart Data'!$CI$19:$CI$29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09501824"/>
        <c:axId val="109524096"/>
      </c:barChart>
      <c:catAx>
        <c:axId val="109501824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524096"/>
        <c:crosses val="autoZero"/>
        <c:auto val="1"/>
        <c:lblAlgn val="ctr"/>
        <c:lblOffset val="100"/>
        <c:noMultiLvlLbl val="0"/>
      </c:catAx>
      <c:valAx>
        <c:axId val="109524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501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Rolling Quarterly Method Award Fee Received 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4744723275000016"/>
          <c:w val="0.87635870516185477"/>
          <c:h val="0.645862689458085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invertIfNegative val="0"/>
          <c:cat>
            <c:numRef>
              <c:f>'SIPmath Chart Data'!$CH$7:$CH$17</c:f>
              <c:numCache>
                <c:formatCode>General</c:formatCode>
                <c:ptCount val="1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</c:numCache>
            </c:numRef>
          </c:cat>
          <c:val>
            <c:numRef>
              <c:f>'SIPmath Chart Data'!$CH$19:$CH$29</c:f>
              <c:numCache>
                <c:formatCode>General</c:formatCode>
                <c:ptCount val="11"/>
                <c:pt idx="0">
                  <c:v>0.03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09443328"/>
        <c:axId val="109457408"/>
      </c:barChart>
      <c:catAx>
        <c:axId val="109443328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457408"/>
        <c:crosses val="autoZero"/>
        <c:auto val="1"/>
        <c:lblAlgn val="ctr"/>
        <c:lblOffset val="100"/>
        <c:noMultiLvlLbl val="0"/>
      </c:catAx>
      <c:valAx>
        <c:axId val="109457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44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Aircraft Availability Measurement Range by Periodicity</a:t>
            </a:r>
          </a:p>
        </c:rich>
      </c:tx>
      <c:layout/>
      <c:overlay val="1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</c:spPr>
          <c:invertIfNegative val="0"/>
          <c:cat>
            <c:strRef>
              <c:f>('Front End'!$Q$122,'Front End'!$Q$124,'Front End'!$Q$126,'Front End'!$Q$128)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('Front End'!$R$122,'Front End'!$R$124,'Front End'!$R$126,'Front End'!$R$128)</c:f>
              <c:numCache>
                <c:formatCode>General</c:formatCode>
                <c:ptCount val="4"/>
                <c:pt idx="0">
                  <c:v>76.179500000000004</c:v>
                </c:pt>
                <c:pt idx="1">
                  <c:v>76.603133333333375</c:v>
                </c:pt>
                <c:pt idx="2">
                  <c:v>76.768433333333334</c:v>
                </c:pt>
                <c:pt idx="3">
                  <c:v>75.006388888888893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cat>
            <c:strRef>
              <c:f>('Front End'!$Q$122,'Front End'!$Q$124,'Front End'!$Q$126,'Front End'!$Q$128)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('Front End'!$S$122,'Front End'!$S$124,'Front End'!$S$126,'Front End'!$S$128)</c:f>
              <c:numCache>
                <c:formatCode>General</c:formatCode>
                <c:ptCount val="4"/>
                <c:pt idx="0">
                  <c:v>1.665600000000012</c:v>
                </c:pt>
                <c:pt idx="1">
                  <c:v>0.92086666666662609</c:v>
                </c:pt>
                <c:pt idx="2">
                  <c:v>0.55921666666665715</c:v>
                </c:pt>
                <c:pt idx="3">
                  <c:v>3.9472222222222229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84384"/>
        <c:axId val="109585920"/>
      </c:barChart>
      <c:lineChart>
        <c:grouping val="standard"/>
        <c:varyColors val="0"/>
        <c:ser>
          <c:idx val="2"/>
          <c:order val="2"/>
          <c:spPr>
            <a:ln>
              <a:noFill/>
            </a:ln>
          </c:spPr>
          <c:marker>
            <c:symbol val="dash"/>
            <c:size val="20"/>
          </c:marker>
          <c:val>
            <c:numRef>
              <c:f>('Front End'!$T$122,'Front End'!$T$124,'Front End'!$T$126,'Front End'!$T$128)</c:f>
              <c:numCache>
                <c:formatCode>General</c:formatCode>
                <c:ptCount val="4"/>
                <c:pt idx="0">
                  <c:v>72.099999999999994</c:v>
                </c:pt>
                <c:pt idx="1">
                  <c:v>72.099999999999994</c:v>
                </c:pt>
                <c:pt idx="2">
                  <c:v>72.099999999999994</c:v>
                </c:pt>
                <c:pt idx="3">
                  <c:v>72.099999999999994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84384"/>
        <c:axId val="109585920"/>
      </c:lineChart>
      <c:catAx>
        <c:axId val="1095843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585920"/>
        <c:crosses val="autoZero"/>
        <c:auto val="1"/>
        <c:lblAlgn val="ctr"/>
        <c:lblOffset val="100"/>
        <c:noMultiLvlLbl val="0"/>
      </c:catAx>
      <c:valAx>
        <c:axId val="109585920"/>
        <c:scaling>
          <c:orientation val="minMax"/>
          <c:max val="100"/>
          <c:min val="6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584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Three Year Award Fee (Millions $)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dLbls>
            <c:numFmt formatCode="&quot;$&quot;#,##0" sourceLinked="0"/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'Front End'!$S$86:$S$89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'Front End'!$R$86:$R$89</c:f>
              <c:numCache>
                <c:formatCode>0.00</c:formatCode>
                <c:ptCount val="4"/>
                <c:pt idx="0" formatCode="General">
                  <c:v>55.399999999999984</c:v>
                </c:pt>
                <c:pt idx="1">
                  <c:v>58.25</c:v>
                </c:pt>
                <c:pt idx="2" formatCode="General">
                  <c:v>59.3</c:v>
                </c:pt>
                <c:pt idx="3" formatCode="General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607552"/>
        <c:axId val="109613440"/>
      </c:barChart>
      <c:catAx>
        <c:axId val="109607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613440"/>
        <c:crosses val="autoZero"/>
        <c:auto val="1"/>
        <c:lblAlgn val="ctr"/>
        <c:lblOffset val="100"/>
        <c:noMultiLvlLbl val="0"/>
      </c:catAx>
      <c:valAx>
        <c:axId val="109613440"/>
        <c:scaling>
          <c:orientation val="minMax"/>
          <c:max val="8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09607552"/>
        <c:crosses val="autoZero"/>
        <c:crossBetween val="between"/>
        <c:majorUnit val="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Minimum Total Three Year Award Fee (Millions $)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dLbls>
            <c:numFmt formatCode="&quot;$&quot;#,##0" sourceLinked="0"/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'Front End'!$W$86:$W$89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'Front End'!$V$86:$V$89</c:f>
              <c:numCache>
                <c:formatCode>General</c:formatCode>
                <c:ptCount val="4"/>
                <c:pt idx="0">
                  <c:v>46.666666666666657</c:v>
                </c:pt>
                <c:pt idx="1">
                  <c:v>50</c:v>
                </c:pt>
                <c:pt idx="2">
                  <c:v>50</c:v>
                </c:pt>
                <c:pt idx="3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229248"/>
        <c:axId val="118235136"/>
      </c:barChart>
      <c:catAx>
        <c:axId val="1182292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235136"/>
        <c:crosses val="autoZero"/>
        <c:auto val="1"/>
        <c:lblAlgn val="ctr"/>
        <c:lblOffset val="100"/>
        <c:noMultiLvlLbl val="0"/>
      </c:catAx>
      <c:valAx>
        <c:axId val="118235136"/>
        <c:scaling>
          <c:orientation val="minMax"/>
          <c:max val="8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229248"/>
        <c:crosses val="autoZero"/>
        <c:crossBetween val="between"/>
        <c:majorUnit val="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Potential Three Year Award Fee Outcomes (Millions $)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dLbls>
            <c:numFmt formatCode="&quot;$&quot;#,##0" sourceLinked="0"/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'Front End'!$S$81:$S$84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'Front End'!$R$81:$R$84</c:f>
              <c:numCache>
                <c:formatCode>General</c:formatCode>
                <c:ptCount val="4"/>
                <c:pt idx="0">
                  <c:v>54.999999999999979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273152"/>
        <c:axId val="118274688"/>
      </c:barChart>
      <c:catAx>
        <c:axId val="118273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274688"/>
        <c:crosses val="autoZero"/>
        <c:auto val="1"/>
        <c:lblAlgn val="ctr"/>
        <c:lblOffset val="100"/>
        <c:noMultiLvlLbl val="0"/>
      </c:catAx>
      <c:valAx>
        <c:axId val="118274688"/>
        <c:scaling>
          <c:orientation val="minMax"/>
          <c:max val="8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273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Threshold Award Fee Received Likelihoods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'Front End'!$V$90</c:f>
              <c:strCache>
                <c:ptCount val="1"/>
                <c:pt idx="0">
                  <c:v>Threshold Award Fee Received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dLbls>
            <c:numFmt formatCode="0%" sourceLinked="0"/>
            <c:txPr>
              <a:bodyPr/>
              <a:lstStyle/>
              <a:p>
                <a:pPr>
                  <a:defRPr sz="1600" b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'Front End'!$W$91:$W$94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'Front End'!$V$91:$V$94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755328"/>
        <c:axId val="118756864"/>
      </c:barChart>
      <c:catAx>
        <c:axId val="1187553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756864"/>
        <c:crosses val="autoZero"/>
        <c:auto val="1"/>
        <c:lblAlgn val="ctr"/>
        <c:lblOffset val="100"/>
        <c:noMultiLvlLbl val="0"/>
      </c:catAx>
      <c:valAx>
        <c:axId val="118756864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755328"/>
        <c:crosses val="autoZero"/>
        <c:crossBetween val="between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Objective Award Fee Received Likelihoods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'Front End'!$Z$90</c:f>
              <c:strCache>
                <c:ptCount val="1"/>
                <c:pt idx="0">
                  <c:v>Objective Award Fee Received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2"/>
              </a:solidFill>
            </c:spPr>
          </c:dPt>
          <c:dLbls>
            <c:numFmt formatCode="0%" sourceLinked="0"/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'Front End'!$AA$91:$AA$94</c:f>
              <c:strCache>
                <c:ptCount val="4"/>
                <c:pt idx="0">
                  <c:v>Monthly</c:v>
                </c:pt>
                <c:pt idx="1">
                  <c:v>Quarterly</c:v>
                </c:pt>
                <c:pt idx="2">
                  <c:v>Rolling Quarterly</c:v>
                </c:pt>
                <c:pt idx="3">
                  <c:v>Three Year Composite</c:v>
                </c:pt>
              </c:strCache>
            </c:strRef>
          </c:cat>
          <c:val>
            <c:numRef>
              <c:f>'Front End'!$Z$91:$Z$94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794880"/>
        <c:axId val="118796672"/>
      </c:barChart>
      <c:catAx>
        <c:axId val="118794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796672"/>
        <c:crosses val="autoZero"/>
        <c:auto val="1"/>
        <c:lblAlgn val="ctr"/>
        <c:lblOffset val="100"/>
        <c:noMultiLvlLbl val="0"/>
      </c:catAx>
      <c:valAx>
        <c:axId val="118796672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118794880"/>
        <c:crosses val="autoZero"/>
        <c:crossBetween val="between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Method Award Fee Received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17640055409740449"/>
          <c:w val="0.87635870516185477"/>
          <c:h val="0.707619568387284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'SIPmath Chart Data'!$CF$7:$CF$16</c:f>
              <c:numCache>
                <c:formatCode>General</c:formatCode>
                <c:ptCount val="10"/>
                <c:pt idx="0">
                  <c:v>46</c:v>
                </c:pt>
                <c:pt idx="1">
                  <c:v>48</c:v>
                </c:pt>
                <c:pt idx="2">
                  <c:v>50</c:v>
                </c:pt>
                <c:pt idx="3">
                  <c:v>52</c:v>
                </c:pt>
                <c:pt idx="4">
                  <c:v>54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64</c:v>
                </c:pt>
              </c:numCache>
            </c:numRef>
          </c:cat>
          <c:val>
            <c:numRef>
              <c:f>'SIPmath Chart Data'!$CF$19:$CF$28</c:f>
              <c:numCache>
                <c:formatCode>General</c:formatCode>
                <c:ptCount val="1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0.08</c:v>
                </c:pt>
                <c:pt idx="4">
                  <c:v>0.17</c:v>
                </c:pt>
                <c:pt idx="5">
                  <c:v>0.27</c:v>
                </c:pt>
                <c:pt idx="6">
                  <c:v>0.17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634304"/>
        <c:axId val="199640192"/>
      </c:barChart>
      <c:catAx>
        <c:axId val="19963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640192"/>
        <c:crosses val="autoZero"/>
        <c:auto val="1"/>
        <c:lblAlgn val="ctr"/>
        <c:lblOffset val="100"/>
        <c:noMultiLvlLbl val="0"/>
      </c:catAx>
      <c:valAx>
        <c:axId val="199640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963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Quarterly</a:t>
            </a:r>
            <a:r>
              <a:rPr lang="en-US" baseline="0"/>
              <a:t> Method Award Fee Received</a:t>
            </a:r>
            <a:endParaRPr lang="en-US"/>
          </a:p>
        </c:rich>
      </c:tx>
      <c:layout>
        <c:manualLayout>
          <c:xMode val="edge"/>
          <c:yMode val="edge"/>
          <c:x val="0.1961248906386702"/>
          <c:y val="2.31481481481481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1806722076407115"/>
          <c:w val="0.87635870516185477"/>
          <c:h val="0.6659529017206182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'SIPmath Chart Data'!$CG$7:$CG$17</c:f>
              <c:numCache>
                <c:formatCode>General</c:formatCode>
                <c:ptCount val="1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</c:numCache>
            </c:numRef>
          </c:cat>
          <c:val>
            <c:numRef>
              <c:f>'SIPmath Chart Data'!$CG$19:$CG$29</c:f>
              <c:numCache>
                <c:formatCode>General</c:formatCode>
                <c:ptCount val="11"/>
                <c:pt idx="0">
                  <c:v>0.04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664384"/>
        <c:axId val="199665920"/>
      </c:barChart>
      <c:catAx>
        <c:axId val="19966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665920"/>
        <c:crosses val="autoZero"/>
        <c:auto val="1"/>
        <c:lblAlgn val="ctr"/>
        <c:lblOffset val="100"/>
        <c:noMultiLvlLbl val="0"/>
      </c:catAx>
      <c:valAx>
        <c:axId val="199665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9664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Rolling Quarterly Method Award Fee Received 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'SIPmath Chart Data'!$CH$7:$CH$17</c:f>
              <c:numCache>
                <c:formatCode>General</c:formatCode>
                <c:ptCount val="1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</c:numCache>
            </c:numRef>
          </c:cat>
          <c:val>
            <c:numRef>
              <c:f>'SIPmath Chart Data'!$CH$19:$CH$29</c:f>
              <c:numCache>
                <c:formatCode>General</c:formatCode>
                <c:ptCount val="11"/>
                <c:pt idx="0">
                  <c:v>0.03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759744"/>
        <c:axId val="199761280"/>
      </c:barChart>
      <c:catAx>
        <c:axId val="19975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761280"/>
        <c:crosses val="autoZero"/>
        <c:auto val="1"/>
        <c:lblAlgn val="ctr"/>
        <c:lblOffset val="100"/>
        <c:noMultiLvlLbl val="0"/>
      </c:catAx>
      <c:valAx>
        <c:axId val="199761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9759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Three Year Cumulative Method Award Fee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25510425780110818"/>
          <c:w val="0.8904420384951881"/>
          <c:h val="0.6289158646835811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'SIPmath Chart Data'!$CI$7:$CI$17</c:f>
              <c:numCache>
                <c:formatCode>General</c:formatCode>
                <c:ptCount val="1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</c:numCache>
            </c:numRef>
          </c:cat>
          <c:val>
            <c:numRef>
              <c:f>'SIPmath Chart Data'!$CI$19:$CI$29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781376"/>
        <c:axId val="199787264"/>
      </c:barChart>
      <c:catAx>
        <c:axId val="19978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787264"/>
        <c:crosses val="autoZero"/>
        <c:auto val="1"/>
        <c:lblAlgn val="ctr"/>
        <c:lblOffset val="100"/>
        <c:noMultiLvlLbl val="0"/>
      </c:catAx>
      <c:valAx>
        <c:axId val="199787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9781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$F$5" horiz="1" max="820" min="690" page="10" val="721"/>
</file>

<file path=xl/ctrlProps/ctrlProp2.xml><?xml version="1.0" encoding="utf-8"?>
<formControlPr xmlns="http://schemas.microsoft.com/office/spreadsheetml/2009/9/main" objectType="Spin" dx="20" fmlaLink="$Q$81" max="101" min="1" page="10"/>
</file>

<file path=xl/ctrlProps/ctrlProp3.xml><?xml version="1.0" encoding="utf-8"?>
<formControlPr xmlns="http://schemas.microsoft.com/office/spreadsheetml/2009/9/main" objectType="Scroll" dx="20" fmlaLink="$C$6" horiz="1" max="72" page="10" val="36"/>
</file>

<file path=xl/ctrlProps/ctrlProp4.xml><?xml version="1.0" encoding="utf-8"?>
<formControlPr xmlns="http://schemas.microsoft.com/office/spreadsheetml/2009/9/main" objectType="Scroll" dx="20" fmlaLink="$F$7" horiz="1" max="72" page="10" val="41"/>
</file>

<file path=xl/ctrlProps/ctrlProp5.xml><?xml version="1.0" encoding="utf-8"?>
<formControlPr xmlns="http://schemas.microsoft.com/office/spreadsheetml/2009/9/main" objectType="Scroll" dx="20" fmlaLink="$C$4" horiz="1" max="75" page="10" val="60"/>
</file>

<file path=xl/ctrlProps/ctrlProp6.xml><?xml version="1.0" encoding="utf-8"?>
<formControlPr xmlns="http://schemas.microsoft.com/office/spreadsheetml/2009/9/main" objectType="Spin" dx="16" fmlaLink="$Q$121" max="101" min="1" page="10" val="10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154781</xdr:colOff>
      <xdr:row>3</xdr:row>
      <xdr:rowOff>59530</xdr:rowOff>
    </xdr:from>
    <xdr:to>
      <xdr:col>12</xdr:col>
      <xdr:colOff>442436</xdr:colOff>
      <xdr:row>7</xdr:row>
      <xdr:rowOff>250030</xdr:rowOff>
    </xdr:to>
    <xdr:graphicFrame macro="[0]!Send_to_back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142875</xdr:colOff>
      <xdr:row>3</xdr:row>
      <xdr:rowOff>59529</xdr:rowOff>
    </xdr:from>
    <xdr:to>
      <xdr:col>12</xdr:col>
      <xdr:colOff>430530</xdr:colOff>
      <xdr:row>7</xdr:row>
      <xdr:rowOff>248886</xdr:rowOff>
    </xdr:to>
    <xdr:graphicFrame macro="[0]!Qtrly_to_back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139212</xdr:colOff>
      <xdr:row>3</xdr:row>
      <xdr:rowOff>58615</xdr:rowOff>
    </xdr:from>
    <xdr:to>
      <xdr:col>12</xdr:col>
      <xdr:colOff>468924</xdr:colOff>
      <xdr:row>7</xdr:row>
      <xdr:rowOff>237393</xdr:rowOff>
    </xdr:to>
    <xdr:graphicFrame macro="[0]!TYC_back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162319</xdr:colOff>
      <xdr:row>3</xdr:row>
      <xdr:rowOff>50527</xdr:rowOff>
    </xdr:from>
    <xdr:to>
      <xdr:col>12</xdr:col>
      <xdr:colOff>446311</xdr:colOff>
      <xdr:row>7</xdr:row>
      <xdr:rowOff>236221</xdr:rowOff>
    </xdr:to>
    <xdr:graphicFrame macro="[0]!RQ_to_back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86090</xdr:colOff>
      <xdr:row>3</xdr:row>
      <xdr:rowOff>17768</xdr:rowOff>
    </xdr:from>
    <xdr:to>
      <xdr:col>28</xdr:col>
      <xdr:colOff>487239</xdr:colOff>
      <xdr:row>19</xdr:row>
      <xdr:rowOff>142875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141511</xdr:colOff>
      <xdr:row>3</xdr:row>
      <xdr:rowOff>48987</xdr:rowOff>
    </xdr:from>
    <xdr:to>
      <xdr:col>12</xdr:col>
      <xdr:colOff>446311</xdr:colOff>
      <xdr:row>7</xdr:row>
      <xdr:rowOff>236221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555169</xdr:colOff>
      <xdr:row>3</xdr:row>
      <xdr:rowOff>48987</xdr:rowOff>
    </xdr:from>
    <xdr:to>
      <xdr:col>20</xdr:col>
      <xdr:colOff>130626</xdr:colOff>
      <xdr:row>7</xdr:row>
      <xdr:rowOff>236221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72573</xdr:colOff>
      <xdr:row>8</xdr:row>
      <xdr:rowOff>0</xdr:rowOff>
    </xdr:from>
    <xdr:to>
      <xdr:col>5</xdr:col>
      <xdr:colOff>57333</xdr:colOff>
      <xdr:row>19</xdr:row>
      <xdr:rowOff>90366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333375</xdr:rowOff>
        </xdr:from>
        <xdr:to>
          <xdr:col>3</xdr:col>
          <xdr:colOff>9525</xdr:colOff>
          <xdr:row>4</xdr:row>
          <xdr:rowOff>638175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8</xdr:row>
          <xdr:rowOff>47625</xdr:rowOff>
        </xdr:from>
        <xdr:to>
          <xdr:col>5</xdr:col>
          <xdr:colOff>0</xdr:colOff>
          <xdr:row>9</xdr:row>
          <xdr:rowOff>133350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323850</xdr:rowOff>
        </xdr:from>
        <xdr:to>
          <xdr:col>3</xdr:col>
          <xdr:colOff>19050</xdr:colOff>
          <xdr:row>5</xdr:row>
          <xdr:rowOff>628650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333375</xdr:rowOff>
        </xdr:from>
        <xdr:to>
          <xdr:col>3</xdr:col>
          <xdr:colOff>28575</xdr:colOff>
          <xdr:row>6</xdr:row>
          <xdr:rowOff>647700</xdr:rowOff>
        </xdr:to>
        <xdr:sp macro="" textlink="">
          <xdr:nvSpPr>
            <xdr:cNvPr id="3076" name="Scroll Ba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141511</xdr:colOff>
      <xdr:row>7</xdr:row>
      <xdr:rowOff>373673</xdr:rowOff>
    </xdr:from>
    <xdr:to>
      <xdr:col>12</xdr:col>
      <xdr:colOff>446311</xdr:colOff>
      <xdr:row>19</xdr:row>
      <xdr:rowOff>90366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555169</xdr:colOff>
      <xdr:row>8</xdr:row>
      <xdr:rowOff>0</xdr:rowOff>
    </xdr:from>
    <xdr:to>
      <xdr:col>20</xdr:col>
      <xdr:colOff>130626</xdr:colOff>
      <xdr:row>19</xdr:row>
      <xdr:rowOff>90366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333375</xdr:rowOff>
        </xdr:from>
        <xdr:to>
          <xdr:col>3</xdr:col>
          <xdr:colOff>19050</xdr:colOff>
          <xdr:row>3</xdr:row>
          <xdr:rowOff>638175</xdr:rowOff>
        </xdr:to>
        <xdr:sp macro="" textlink="">
          <xdr:nvSpPr>
            <xdr:cNvPr id="3077" name="Scroll Bar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6</xdr:col>
      <xdr:colOff>381000</xdr:colOff>
      <xdr:row>4</xdr:row>
      <xdr:rowOff>326572</xdr:rowOff>
    </xdr:from>
    <xdr:ext cx="258535" cy="1605642"/>
    <xdr:sp macro="[0]!Monthly_Histogram_to_front" textlink="">
      <xdr:nvSpPr>
        <xdr:cNvPr id="3" name="TextBox 2"/>
        <xdr:cNvSpPr txBox="1"/>
      </xdr:nvSpPr>
      <xdr:spPr>
        <a:xfrm>
          <a:off x="5578929" y="1823358"/>
          <a:ext cx="258535" cy="16056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122464</xdr:colOff>
      <xdr:row>4</xdr:row>
      <xdr:rowOff>231321</xdr:rowOff>
    </xdr:from>
    <xdr:to>
      <xdr:col>8</xdr:col>
      <xdr:colOff>449035</xdr:colOff>
      <xdr:row>6</xdr:row>
      <xdr:rowOff>312964</xdr:rowOff>
    </xdr:to>
    <xdr:sp macro="[0]!Quarterly_to_front" textlink="">
      <xdr:nvSpPr>
        <xdr:cNvPr id="5" name="TextBox 4"/>
        <xdr:cNvSpPr txBox="1"/>
      </xdr:nvSpPr>
      <xdr:spPr>
        <a:xfrm>
          <a:off x="6545035" y="1728107"/>
          <a:ext cx="326571" cy="1714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503464</xdr:colOff>
      <xdr:row>4</xdr:row>
      <xdr:rowOff>231321</xdr:rowOff>
    </xdr:from>
    <xdr:to>
      <xdr:col>10</xdr:col>
      <xdr:colOff>204107</xdr:colOff>
      <xdr:row>6</xdr:row>
      <xdr:rowOff>299357</xdr:rowOff>
    </xdr:to>
    <xdr:sp macro="[0]!RQ_to_front" textlink="">
      <xdr:nvSpPr>
        <xdr:cNvPr id="7" name="TextBox 6"/>
        <xdr:cNvSpPr txBox="1"/>
      </xdr:nvSpPr>
      <xdr:spPr>
        <a:xfrm>
          <a:off x="7538357" y="1728107"/>
          <a:ext cx="312964" cy="1700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11</xdr:col>
      <xdr:colOff>272143</xdr:colOff>
      <xdr:row>4</xdr:row>
      <xdr:rowOff>176893</xdr:rowOff>
    </xdr:from>
    <xdr:to>
      <xdr:col>11</xdr:col>
      <xdr:colOff>557893</xdr:colOff>
      <xdr:row>6</xdr:row>
      <xdr:rowOff>299357</xdr:rowOff>
    </xdr:to>
    <xdr:sp macro="[0]!TYC_front" textlink="">
      <xdr:nvSpPr>
        <xdr:cNvPr id="11" name="TextBox 10"/>
        <xdr:cNvSpPr txBox="1"/>
      </xdr:nvSpPr>
      <xdr:spPr>
        <a:xfrm>
          <a:off x="8531679" y="1673679"/>
          <a:ext cx="285750" cy="17553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219075</xdr:colOff>
          <xdr:row>3</xdr:row>
          <xdr:rowOff>447675</xdr:rowOff>
        </xdr:from>
        <xdr:to>
          <xdr:col>23</xdr:col>
          <xdr:colOff>9525</xdr:colOff>
          <xdr:row>4</xdr:row>
          <xdr:rowOff>171450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5</xdr:col>
      <xdr:colOff>530678</xdr:colOff>
      <xdr:row>5</xdr:row>
      <xdr:rowOff>424584</xdr:rowOff>
    </xdr:from>
    <xdr:ext cx="4136572" cy="342786"/>
    <xdr:sp macro="" textlink="">
      <xdr:nvSpPr>
        <xdr:cNvPr id="2" name="TextBox 1"/>
        <xdr:cNvSpPr txBox="1"/>
      </xdr:nvSpPr>
      <xdr:spPr>
        <a:xfrm>
          <a:off x="5143499" y="2737798"/>
          <a:ext cx="4136572" cy="342786"/>
        </a:xfrm>
        <a:prstGeom prst="rect">
          <a:avLst/>
        </a:prstGeom>
        <a:solidFill>
          <a:schemeClr val="bg1">
            <a:alpha val="4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/>
            <a:t>Clicking</a:t>
          </a:r>
          <a:r>
            <a:rPr lang="en-US" sz="1600" b="1" baseline="0"/>
            <a:t> on each bar will open up a  histogram</a:t>
          </a:r>
          <a:endParaRPr lang="en-US" sz="1600" b="1"/>
        </a:p>
      </xdr:txBody>
    </xdr:sp>
    <xdr:clientData/>
  </xdr:oneCellAnchor>
  <xdr:twoCellAnchor>
    <xdr:from>
      <xdr:col>5</xdr:col>
      <xdr:colOff>503464</xdr:colOff>
      <xdr:row>5</xdr:row>
      <xdr:rowOff>762000</xdr:rowOff>
    </xdr:from>
    <xdr:to>
      <xdr:col>12</xdr:col>
      <xdr:colOff>381000</xdr:colOff>
      <xdr:row>6</xdr:row>
      <xdr:rowOff>288357</xdr:rowOff>
    </xdr:to>
    <xdr:sp macro="" textlink="">
      <xdr:nvSpPr>
        <xdr:cNvPr id="25" name="TextBox 1"/>
        <xdr:cNvSpPr txBox="1"/>
      </xdr:nvSpPr>
      <xdr:spPr>
        <a:xfrm>
          <a:off x="5116285" y="3075214"/>
          <a:ext cx="4136572" cy="342786"/>
        </a:xfrm>
        <a:prstGeom prst="rect">
          <a:avLst/>
        </a:prstGeom>
        <a:solidFill>
          <a:schemeClr val="bg1">
            <a:alpha val="4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/>
            <a:t>Click histograms to return</a:t>
          </a:r>
          <a:r>
            <a:rPr lang="en-US" sz="1600" b="1" baseline="0"/>
            <a:t> to summary output</a:t>
          </a:r>
          <a:endParaRPr lang="en-US" sz="1600" b="1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0.40648</cdr:x>
      <cdr:y>0.51995</cdr:y>
    </cdr:from>
    <cdr:to>
      <cdr:x>0.45628</cdr:x>
      <cdr:y>0.74242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846834" y="1558357"/>
          <a:ext cx="226218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0.38939</cdr:x>
      <cdr:y>0.28531</cdr:y>
    </cdr:from>
    <cdr:to>
      <cdr:x>0.46691</cdr:x>
      <cdr:y>0.78184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777097" y="985156"/>
          <a:ext cx="353785" cy="1714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361950</xdr:colOff>
      <xdr:row>10</xdr:row>
      <xdr:rowOff>147637</xdr:rowOff>
    </xdr:from>
    <xdr:to>
      <xdr:col>76</xdr:col>
      <xdr:colOff>57150</xdr:colOff>
      <xdr:row>27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67</xdr:col>
      <xdr:colOff>476250</xdr:colOff>
      <xdr:row>14</xdr:row>
      <xdr:rowOff>42862</xdr:rowOff>
    </xdr:from>
    <xdr:to>
      <xdr:col>75</xdr:col>
      <xdr:colOff>171450</xdr:colOff>
      <xdr:row>31</xdr:row>
      <xdr:rowOff>33337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66</xdr:col>
      <xdr:colOff>419100</xdr:colOff>
      <xdr:row>17</xdr:row>
      <xdr:rowOff>147637</xdr:rowOff>
    </xdr:from>
    <xdr:to>
      <xdr:col>74</xdr:col>
      <xdr:colOff>114300</xdr:colOff>
      <xdr:row>34</xdr:row>
      <xdr:rowOff>138112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65</xdr:col>
      <xdr:colOff>419100</xdr:colOff>
      <xdr:row>20</xdr:row>
      <xdr:rowOff>100012</xdr:rowOff>
    </xdr:from>
    <xdr:to>
      <xdr:col>73</xdr:col>
      <xdr:colOff>114300</xdr:colOff>
      <xdr:row>37</xdr:row>
      <xdr:rowOff>90487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85"/>
  <sheetViews>
    <sheetView workbookViewId="0">
      <pane xSplit="1" ySplit="3" topLeftCell="CI46" activePane="bottomRight" state="frozen"/>
      <selection pane="topRight" activeCell="B1" sqref="B1"/>
      <selection pane="bottomLeft" activeCell="A4" sqref="A4"/>
      <selection pane="bottomRight" activeCell="DA29" sqref="DA29"/>
    </sheetView>
  </sheetViews>
  <sheetFormatPr defaultRowHeight="12.75" x14ac:dyDescent="0.2"/>
  <cols>
    <col min="1" max="1" width="12.7109375" customWidth="1"/>
  </cols>
  <sheetData>
    <row r="1" spans="1:102" x14ac:dyDescent="0.2">
      <c r="A1" s="1" t="s">
        <v>0</v>
      </c>
    </row>
    <row r="2" spans="1:102" x14ac:dyDescent="0.2">
      <c r="B2" s="3" t="s">
        <v>2</v>
      </c>
    </row>
    <row r="3" spans="1:102" x14ac:dyDescent="0.2">
      <c r="A3" s="3" t="s">
        <v>1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  <c r="U3">
        <v>20</v>
      </c>
      <c r="V3">
        <v>21</v>
      </c>
      <c r="W3">
        <v>22</v>
      </c>
      <c r="X3">
        <v>23</v>
      </c>
      <c r="Y3">
        <v>24</v>
      </c>
      <c r="Z3">
        <v>25</v>
      </c>
      <c r="AA3">
        <v>26</v>
      </c>
      <c r="AB3">
        <v>27</v>
      </c>
      <c r="AC3">
        <v>28</v>
      </c>
      <c r="AD3">
        <v>29</v>
      </c>
      <c r="AE3">
        <v>30</v>
      </c>
      <c r="AF3">
        <v>31</v>
      </c>
      <c r="AG3">
        <v>32</v>
      </c>
      <c r="AH3">
        <v>33</v>
      </c>
      <c r="AI3">
        <v>34</v>
      </c>
      <c r="AJ3">
        <v>35</v>
      </c>
      <c r="AK3">
        <v>36</v>
      </c>
      <c r="AL3">
        <v>37</v>
      </c>
      <c r="AM3">
        <v>38</v>
      </c>
      <c r="AN3">
        <v>39</v>
      </c>
      <c r="AO3">
        <v>40</v>
      </c>
      <c r="AP3">
        <v>41</v>
      </c>
      <c r="AQ3">
        <v>42</v>
      </c>
      <c r="AR3">
        <v>43</v>
      </c>
      <c r="AS3">
        <v>44</v>
      </c>
      <c r="AT3">
        <v>45</v>
      </c>
      <c r="AU3">
        <v>46</v>
      </c>
      <c r="AV3">
        <v>47</v>
      </c>
      <c r="AW3">
        <v>48</v>
      </c>
      <c r="AX3">
        <v>49</v>
      </c>
      <c r="AY3">
        <v>50</v>
      </c>
      <c r="AZ3">
        <v>51</v>
      </c>
      <c r="BA3">
        <v>52</v>
      </c>
      <c r="BB3">
        <v>53</v>
      </c>
      <c r="BC3">
        <v>54</v>
      </c>
      <c r="BD3">
        <v>55</v>
      </c>
      <c r="BE3">
        <v>56</v>
      </c>
      <c r="BF3">
        <v>57</v>
      </c>
      <c r="BG3">
        <v>58</v>
      </c>
      <c r="BH3">
        <v>59</v>
      </c>
      <c r="BI3">
        <v>60</v>
      </c>
      <c r="BJ3">
        <v>61</v>
      </c>
      <c r="BK3">
        <v>62</v>
      </c>
      <c r="BL3">
        <v>63</v>
      </c>
      <c r="BM3">
        <v>64</v>
      </c>
      <c r="BN3">
        <v>65</v>
      </c>
      <c r="BO3">
        <v>66</v>
      </c>
      <c r="BP3">
        <v>67</v>
      </c>
      <c r="BQ3">
        <v>68</v>
      </c>
      <c r="BR3">
        <v>69</v>
      </c>
      <c r="BS3">
        <v>70</v>
      </c>
      <c r="BT3">
        <v>71</v>
      </c>
      <c r="BU3">
        <v>72</v>
      </c>
      <c r="BV3">
        <v>73</v>
      </c>
      <c r="BW3">
        <v>74</v>
      </c>
      <c r="BX3">
        <v>75</v>
      </c>
      <c r="BY3">
        <v>76</v>
      </c>
      <c r="BZ3">
        <v>77</v>
      </c>
      <c r="CA3">
        <v>78</v>
      </c>
      <c r="CB3">
        <v>79</v>
      </c>
      <c r="CC3">
        <v>80</v>
      </c>
      <c r="CD3">
        <v>81</v>
      </c>
      <c r="CE3">
        <v>82</v>
      </c>
      <c r="CF3">
        <v>83</v>
      </c>
      <c r="CG3">
        <v>84</v>
      </c>
      <c r="CH3">
        <v>85</v>
      </c>
      <c r="CI3">
        <v>86</v>
      </c>
      <c r="CJ3">
        <v>87</v>
      </c>
      <c r="CK3">
        <v>88</v>
      </c>
      <c r="CL3">
        <v>89</v>
      </c>
      <c r="CM3">
        <v>90</v>
      </c>
      <c r="CN3">
        <v>91</v>
      </c>
      <c r="CO3">
        <v>92</v>
      </c>
      <c r="CP3">
        <v>93</v>
      </c>
      <c r="CQ3">
        <v>94</v>
      </c>
      <c r="CR3">
        <v>95</v>
      </c>
      <c r="CS3">
        <v>96</v>
      </c>
      <c r="CT3">
        <v>97</v>
      </c>
      <c r="CU3">
        <v>98</v>
      </c>
      <c r="CV3">
        <v>99</v>
      </c>
      <c r="CW3">
        <v>100</v>
      </c>
      <c r="CX3" s="3" t="s">
        <v>4</v>
      </c>
    </row>
    <row r="4" spans="1:102" x14ac:dyDescent="0.2">
      <c r="A4" s="3" t="s">
        <v>121</v>
      </c>
      <c r="B4" s="2">
        <v>75.97</v>
      </c>
      <c r="C4" s="2">
        <v>80.31</v>
      </c>
      <c r="D4" s="2">
        <v>73.13</v>
      </c>
      <c r="E4" s="2">
        <v>77.12</v>
      </c>
      <c r="F4" s="2">
        <v>82.35</v>
      </c>
      <c r="G4" s="2">
        <v>79.48</v>
      </c>
      <c r="H4" s="2">
        <v>80.36</v>
      </c>
      <c r="I4" s="2">
        <v>69.34</v>
      </c>
      <c r="J4" s="2">
        <v>78.83</v>
      </c>
      <c r="K4" s="2">
        <v>77.27</v>
      </c>
      <c r="L4" s="2">
        <v>81.209999999999994</v>
      </c>
      <c r="M4" s="2">
        <v>76.38</v>
      </c>
      <c r="N4" s="2">
        <v>77.33</v>
      </c>
      <c r="O4" s="2">
        <v>71.84</v>
      </c>
      <c r="P4" s="2">
        <v>72.11</v>
      </c>
      <c r="Q4" s="2">
        <v>76.97</v>
      </c>
      <c r="R4" s="2">
        <v>77.27</v>
      </c>
      <c r="S4" s="2">
        <v>73.260000000000005</v>
      </c>
      <c r="T4" s="2">
        <v>79.69</v>
      </c>
      <c r="U4" s="2">
        <v>78.09</v>
      </c>
      <c r="V4" s="2">
        <v>79.400000000000006</v>
      </c>
      <c r="W4" s="2">
        <v>74.819999999999993</v>
      </c>
      <c r="X4" s="2">
        <v>77.63</v>
      </c>
      <c r="Y4" s="2">
        <v>74.290000000000006</v>
      </c>
      <c r="Z4" s="2">
        <v>75.739999999999995</v>
      </c>
      <c r="AA4" s="2">
        <v>76.819999999999993</v>
      </c>
      <c r="AB4" s="2">
        <v>80.36</v>
      </c>
      <c r="AC4" s="2">
        <v>80.09</v>
      </c>
      <c r="AD4" s="2">
        <v>80.36</v>
      </c>
      <c r="AE4" s="2">
        <v>73.12</v>
      </c>
      <c r="AF4" s="2">
        <v>77.87</v>
      </c>
      <c r="AG4" s="2">
        <v>74.989999999999995</v>
      </c>
      <c r="AH4" s="2">
        <v>74.459999999999994</v>
      </c>
      <c r="AI4" s="2">
        <v>79.31</v>
      </c>
      <c r="AJ4" s="2">
        <v>73.290000000000006</v>
      </c>
      <c r="AK4" s="2">
        <v>79.05</v>
      </c>
      <c r="AL4" s="2">
        <v>80.09</v>
      </c>
      <c r="AM4" s="2">
        <v>81.19</v>
      </c>
      <c r="AN4" s="2">
        <v>74.14</v>
      </c>
      <c r="AO4" s="2">
        <v>70.8</v>
      </c>
      <c r="AP4" s="2">
        <v>83.68</v>
      </c>
      <c r="AQ4" s="2">
        <v>77.11</v>
      </c>
      <c r="AR4" s="2">
        <v>75.86</v>
      </c>
      <c r="AS4" s="2">
        <v>76.25</v>
      </c>
      <c r="AT4" s="2">
        <v>78.319999999999993</v>
      </c>
      <c r="AU4" s="2">
        <v>80.290000000000006</v>
      </c>
      <c r="AV4" s="2">
        <v>77.739999999999995</v>
      </c>
      <c r="AW4" s="2">
        <v>77.239999999999995</v>
      </c>
      <c r="AX4" s="2">
        <v>75.02</v>
      </c>
      <c r="AY4" s="2">
        <v>79.91</v>
      </c>
      <c r="AZ4" s="2">
        <v>76.39</v>
      </c>
      <c r="BA4" s="2">
        <v>78.91</v>
      </c>
      <c r="BB4" s="2">
        <v>77.23</v>
      </c>
      <c r="BC4" s="2">
        <v>80.09</v>
      </c>
      <c r="BD4" s="2">
        <v>81.040000000000006</v>
      </c>
      <c r="BE4" s="2">
        <v>75.39</v>
      </c>
      <c r="BF4" s="2">
        <v>75.98</v>
      </c>
      <c r="BG4" s="2">
        <v>82.3</v>
      </c>
      <c r="BH4" s="2">
        <v>75.36</v>
      </c>
      <c r="BI4" s="2">
        <v>78.709999999999994</v>
      </c>
      <c r="BJ4" s="2">
        <v>82.49</v>
      </c>
      <c r="BK4" s="2">
        <v>82.86</v>
      </c>
      <c r="BL4" s="2">
        <v>76.72</v>
      </c>
      <c r="BM4" s="2">
        <v>77.430000000000007</v>
      </c>
      <c r="BN4" s="2">
        <v>83.23</v>
      </c>
      <c r="BO4" s="2">
        <v>74.36</v>
      </c>
      <c r="BP4" s="2">
        <v>74.36</v>
      </c>
      <c r="BQ4" s="2">
        <v>83.05</v>
      </c>
      <c r="BR4" s="2">
        <v>79.489999999999995</v>
      </c>
      <c r="BS4" s="2">
        <v>77.02</v>
      </c>
      <c r="BT4" s="2">
        <v>78.11</v>
      </c>
      <c r="BU4" s="2">
        <v>83.1</v>
      </c>
      <c r="BV4" s="2">
        <v>78.72</v>
      </c>
      <c r="BW4" s="2">
        <v>74.28</v>
      </c>
      <c r="BX4" s="2">
        <v>78.989999999999995</v>
      </c>
      <c r="BY4" s="2">
        <v>75.02</v>
      </c>
      <c r="BZ4" s="2">
        <v>79.569999999999993</v>
      </c>
      <c r="CA4" s="2">
        <v>81.12</v>
      </c>
      <c r="CB4" s="2">
        <v>78.66</v>
      </c>
      <c r="CC4" s="2">
        <v>79.319999999999993</v>
      </c>
      <c r="CD4" s="2">
        <v>73.37</v>
      </c>
      <c r="CE4" s="2">
        <v>71.44</v>
      </c>
      <c r="CF4" s="2">
        <v>78.78</v>
      </c>
      <c r="CG4" s="2">
        <v>75.11</v>
      </c>
      <c r="CH4" s="2">
        <v>81.75</v>
      </c>
      <c r="CI4" s="2">
        <v>75.38</v>
      </c>
      <c r="CJ4" s="2">
        <v>77.33</v>
      </c>
      <c r="CK4" s="2">
        <v>69.56</v>
      </c>
      <c r="CL4" s="2">
        <v>74.599999999999994</v>
      </c>
      <c r="CM4" s="2">
        <v>74.2</v>
      </c>
      <c r="CN4" s="2">
        <v>76.06</v>
      </c>
      <c r="CO4" s="2">
        <v>73.98</v>
      </c>
      <c r="CP4" s="2">
        <v>72.06</v>
      </c>
      <c r="CQ4" s="2">
        <v>73.09</v>
      </c>
      <c r="CR4" s="2">
        <v>77.319999999999993</v>
      </c>
      <c r="CS4" s="2">
        <v>76.11</v>
      </c>
      <c r="CT4" s="2">
        <v>77.040000000000006</v>
      </c>
      <c r="CU4" s="2">
        <v>77.209999999999994</v>
      </c>
      <c r="CV4" s="2">
        <v>83.57</v>
      </c>
      <c r="CW4" s="2">
        <v>83.16</v>
      </c>
      <c r="CX4" s="2">
        <f>AVERAGE(B4:CW4)</f>
        <v>77.379699999999971</v>
      </c>
    </row>
    <row r="5" spans="1:102" x14ac:dyDescent="0.2">
      <c r="A5" s="3" t="s">
        <v>122</v>
      </c>
      <c r="B5" s="2">
        <v>77.72</v>
      </c>
      <c r="C5" s="2">
        <v>74.56</v>
      </c>
      <c r="D5" s="2">
        <v>75.98</v>
      </c>
      <c r="E5" s="2">
        <v>76.14</v>
      </c>
      <c r="F5" s="2">
        <v>81.53</v>
      </c>
      <c r="G5" s="2">
        <v>74.45</v>
      </c>
      <c r="H5" s="2">
        <v>77.599999999999994</v>
      </c>
      <c r="I5" s="2">
        <v>72.37</v>
      </c>
      <c r="J5" s="2">
        <v>81.81</v>
      </c>
      <c r="K5" s="2">
        <v>76.260000000000005</v>
      </c>
      <c r="L5" s="2">
        <v>80.11</v>
      </c>
      <c r="M5" s="2">
        <v>80.349999999999994</v>
      </c>
      <c r="N5" s="2">
        <v>79.81</v>
      </c>
      <c r="O5" s="2">
        <v>75.400000000000006</v>
      </c>
      <c r="P5" s="2">
        <v>78.930000000000007</v>
      </c>
      <c r="Q5" s="2">
        <v>77.989999999999995</v>
      </c>
      <c r="R5" s="2">
        <v>76.709999999999994</v>
      </c>
      <c r="S5" s="2">
        <v>77.66</v>
      </c>
      <c r="T5" s="2">
        <v>70.88</v>
      </c>
      <c r="U5" s="2">
        <v>78.599999999999994</v>
      </c>
      <c r="V5" s="2">
        <v>79.510000000000005</v>
      </c>
      <c r="W5" s="2">
        <v>76.319999999999993</v>
      </c>
      <c r="X5" s="2">
        <v>76.84</v>
      </c>
      <c r="Y5" s="2">
        <v>74.3</v>
      </c>
      <c r="Z5" s="2">
        <v>74.97</v>
      </c>
      <c r="AA5" s="2">
        <v>71.209999999999994</v>
      </c>
      <c r="AB5" s="2">
        <v>80.430000000000007</v>
      </c>
      <c r="AC5" s="2">
        <v>76.75</v>
      </c>
      <c r="AD5" s="2">
        <v>78.23</v>
      </c>
      <c r="AE5" s="2">
        <v>72.010000000000005</v>
      </c>
      <c r="AF5" s="2">
        <v>76.77</v>
      </c>
      <c r="AG5" s="2">
        <v>75.88</v>
      </c>
      <c r="AH5" s="2">
        <v>79.59</v>
      </c>
      <c r="AI5" s="2">
        <v>78.98</v>
      </c>
      <c r="AJ5" s="2">
        <v>77</v>
      </c>
      <c r="AK5" s="2">
        <v>77.650000000000006</v>
      </c>
      <c r="AL5" s="2">
        <v>79.44</v>
      </c>
      <c r="AM5" s="2">
        <v>77.42</v>
      </c>
      <c r="AN5" s="2">
        <v>78.17</v>
      </c>
      <c r="AO5" s="2">
        <v>76.72</v>
      </c>
      <c r="AP5" s="2">
        <v>79.53</v>
      </c>
      <c r="AQ5" s="2">
        <v>72.91</v>
      </c>
      <c r="AR5" s="2">
        <v>75.040000000000006</v>
      </c>
      <c r="AS5" s="2">
        <v>78.209999999999994</v>
      </c>
      <c r="AT5" s="2">
        <v>73.66</v>
      </c>
      <c r="AU5" s="2">
        <v>77.69</v>
      </c>
      <c r="AV5" s="2">
        <v>69.34</v>
      </c>
      <c r="AW5" s="2">
        <v>76.44</v>
      </c>
      <c r="AX5" s="2">
        <v>71.739999999999995</v>
      </c>
      <c r="AY5" s="2">
        <v>79.16</v>
      </c>
      <c r="AZ5" s="2">
        <v>77.3</v>
      </c>
      <c r="BA5" s="2">
        <v>76.180000000000007</v>
      </c>
      <c r="BB5" s="2">
        <v>76.569999999999993</v>
      </c>
      <c r="BC5" s="2">
        <v>83.43</v>
      </c>
      <c r="BD5" s="2">
        <v>72.97</v>
      </c>
      <c r="BE5" s="2">
        <v>79.459999999999994</v>
      </c>
      <c r="BF5" s="2">
        <v>76.569999999999993</v>
      </c>
      <c r="BG5" s="2">
        <v>80.36</v>
      </c>
      <c r="BH5" s="2">
        <v>79.88</v>
      </c>
      <c r="BI5" s="2">
        <v>77.25</v>
      </c>
      <c r="BJ5" s="2">
        <v>79.290000000000006</v>
      </c>
      <c r="BK5" s="2">
        <v>80.61</v>
      </c>
      <c r="BL5" s="2">
        <v>81</v>
      </c>
      <c r="BM5" s="2">
        <v>79.56</v>
      </c>
      <c r="BN5" s="2">
        <v>76.77</v>
      </c>
      <c r="BO5" s="2">
        <v>74.650000000000006</v>
      </c>
      <c r="BP5" s="2">
        <v>72.89</v>
      </c>
      <c r="BQ5" s="2">
        <v>79.260000000000005</v>
      </c>
      <c r="BR5" s="2">
        <v>77.59</v>
      </c>
      <c r="BS5" s="2">
        <v>75.72</v>
      </c>
      <c r="BT5" s="2">
        <v>78.03</v>
      </c>
      <c r="BU5" s="2">
        <v>79.239999999999995</v>
      </c>
      <c r="BV5" s="2">
        <v>73.48</v>
      </c>
      <c r="BW5" s="2">
        <v>76.11</v>
      </c>
      <c r="BX5" s="2">
        <v>80.37</v>
      </c>
      <c r="BY5" s="2">
        <v>77.150000000000006</v>
      </c>
      <c r="BZ5" s="2">
        <v>78.430000000000007</v>
      </c>
      <c r="CA5" s="2">
        <v>78.84</v>
      </c>
      <c r="CB5" s="2">
        <v>76</v>
      </c>
      <c r="CC5" s="2">
        <v>76.58</v>
      </c>
      <c r="CD5" s="2">
        <v>77.680000000000007</v>
      </c>
      <c r="CE5" s="2">
        <v>70.900000000000006</v>
      </c>
      <c r="CF5" s="2">
        <v>75.81</v>
      </c>
      <c r="CG5" s="2">
        <v>76.03</v>
      </c>
      <c r="CH5" s="2">
        <v>76.88</v>
      </c>
      <c r="CI5" s="2">
        <v>73.819999999999993</v>
      </c>
      <c r="CJ5" s="2">
        <v>73.52</v>
      </c>
      <c r="CK5" s="2">
        <v>68.709999999999994</v>
      </c>
      <c r="CL5" s="2">
        <v>78.22</v>
      </c>
      <c r="CM5" s="2">
        <v>72.37</v>
      </c>
      <c r="CN5" s="2">
        <v>74.89</v>
      </c>
      <c r="CO5" s="2">
        <v>73.040000000000006</v>
      </c>
      <c r="CP5" s="2">
        <v>72.319999999999993</v>
      </c>
      <c r="CQ5" s="2">
        <v>71.98</v>
      </c>
      <c r="CR5" s="2">
        <v>80.59</v>
      </c>
      <c r="CS5" s="2">
        <v>75.36</v>
      </c>
      <c r="CT5" s="2">
        <v>73.849999999999994</v>
      </c>
      <c r="CU5" s="2">
        <v>83.69</v>
      </c>
      <c r="CV5" s="2">
        <v>75.290000000000006</v>
      </c>
      <c r="CW5" s="2">
        <v>80.97</v>
      </c>
      <c r="CX5" s="2">
        <f t="shared" ref="CX5:CX74" si="0">AVERAGE(B5:CW5)</f>
        <v>76.7423</v>
      </c>
    </row>
    <row r="6" spans="1:102" x14ac:dyDescent="0.2">
      <c r="A6" s="3" t="s">
        <v>123</v>
      </c>
      <c r="B6" s="2">
        <v>78.34</v>
      </c>
      <c r="C6" s="2">
        <v>68.81</v>
      </c>
      <c r="D6" s="2">
        <v>75.42</v>
      </c>
      <c r="E6" s="2">
        <v>74.83</v>
      </c>
      <c r="F6" s="2">
        <v>77.87</v>
      </c>
      <c r="G6" s="2">
        <v>73.84</v>
      </c>
      <c r="H6" s="2">
        <v>77.709999999999994</v>
      </c>
      <c r="I6" s="2">
        <v>75.709999999999994</v>
      </c>
      <c r="J6" s="2">
        <v>81.36</v>
      </c>
      <c r="K6" s="2">
        <v>77.650000000000006</v>
      </c>
      <c r="L6" s="2">
        <v>77.069999999999993</v>
      </c>
      <c r="M6" s="2">
        <v>71.459999999999994</v>
      </c>
      <c r="N6" s="2">
        <v>83.09</v>
      </c>
      <c r="O6" s="2">
        <v>78.55</v>
      </c>
      <c r="P6" s="2">
        <v>76.680000000000007</v>
      </c>
      <c r="Q6" s="2">
        <v>73.64</v>
      </c>
      <c r="R6" s="2">
        <v>78.489999999999995</v>
      </c>
      <c r="S6" s="2">
        <v>73.55</v>
      </c>
      <c r="T6" s="2">
        <v>79</v>
      </c>
      <c r="U6" s="2">
        <v>80.2</v>
      </c>
      <c r="V6" s="2">
        <v>84.02</v>
      </c>
      <c r="W6" s="2">
        <v>70.069999999999993</v>
      </c>
      <c r="X6" s="2">
        <v>79.62</v>
      </c>
      <c r="Y6" s="2">
        <v>77.010000000000005</v>
      </c>
      <c r="Z6" s="2">
        <v>77.41</v>
      </c>
      <c r="AA6" s="2">
        <v>69.010000000000005</v>
      </c>
      <c r="AB6" s="2">
        <v>76.77</v>
      </c>
      <c r="AC6" s="2">
        <v>70.53</v>
      </c>
      <c r="AD6" s="2">
        <v>85.7</v>
      </c>
      <c r="AE6" s="2">
        <v>77.150000000000006</v>
      </c>
      <c r="AF6" s="2">
        <v>73.599999999999994</v>
      </c>
      <c r="AG6" s="2">
        <v>76.38</v>
      </c>
      <c r="AH6" s="2">
        <v>81.03</v>
      </c>
      <c r="AI6" s="2">
        <v>80.44</v>
      </c>
      <c r="AJ6" s="2">
        <v>75.739999999999995</v>
      </c>
      <c r="AK6" s="2">
        <v>80.25</v>
      </c>
      <c r="AL6" s="2">
        <v>78.92</v>
      </c>
      <c r="AM6" s="2">
        <v>78.42</v>
      </c>
      <c r="AN6" s="2">
        <v>76.44</v>
      </c>
      <c r="AO6" s="2">
        <v>75.91</v>
      </c>
      <c r="AP6" s="2">
        <v>75.45</v>
      </c>
      <c r="AQ6" s="2">
        <v>73.73</v>
      </c>
      <c r="AR6" s="2">
        <v>76.78</v>
      </c>
      <c r="AS6" s="2">
        <v>74.94</v>
      </c>
      <c r="AT6" s="2">
        <v>74.86</v>
      </c>
      <c r="AU6" s="2">
        <v>80</v>
      </c>
      <c r="AV6" s="2">
        <v>71.23</v>
      </c>
      <c r="AW6" s="2">
        <v>70.69</v>
      </c>
      <c r="AX6" s="2">
        <v>76.680000000000007</v>
      </c>
      <c r="AY6" s="2">
        <v>77.819999999999993</v>
      </c>
      <c r="AZ6" s="2">
        <v>79.2</v>
      </c>
      <c r="BA6" s="2">
        <v>74.290000000000006</v>
      </c>
      <c r="BB6" s="2">
        <v>78.739999999999995</v>
      </c>
      <c r="BC6" s="2">
        <v>84.11</v>
      </c>
      <c r="BD6" s="2">
        <v>72.510000000000005</v>
      </c>
      <c r="BE6" s="2">
        <v>74.209999999999994</v>
      </c>
      <c r="BF6" s="2">
        <v>75.73</v>
      </c>
      <c r="BG6" s="2">
        <v>80.09</v>
      </c>
      <c r="BH6" s="2">
        <v>78.31</v>
      </c>
      <c r="BI6" s="2">
        <v>74.290000000000006</v>
      </c>
      <c r="BJ6" s="2">
        <v>82.58</v>
      </c>
      <c r="BK6" s="2">
        <v>75.31</v>
      </c>
      <c r="BL6" s="2">
        <v>80.8</v>
      </c>
      <c r="BM6" s="2">
        <v>85.72</v>
      </c>
      <c r="BN6" s="2">
        <v>77.17</v>
      </c>
      <c r="BO6" s="2">
        <v>78.3</v>
      </c>
      <c r="BP6" s="2">
        <v>76.72</v>
      </c>
      <c r="BQ6" s="2">
        <v>76.569999999999993</v>
      </c>
      <c r="BR6" s="2">
        <v>78.150000000000006</v>
      </c>
      <c r="BS6" s="2">
        <v>75.13</v>
      </c>
      <c r="BT6" s="2">
        <v>79.239999999999995</v>
      </c>
      <c r="BU6" s="2">
        <v>79.58</v>
      </c>
      <c r="BV6" s="2">
        <v>78.900000000000006</v>
      </c>
      <c r="BW6" s="2">
        <v>80.28</v>
      </c>
      <c r="BX6" s="2">
        <v>77.959999999999994</v>
      </c>
      <c r="BY6" s="2">
        <v>77.959999999999994</v>
      </c>
      <c r="BZ6" s="2">
        <v>73.64</v>
      </c>
      <c r="CA6" s="2">
        <v>74.14</v>
      </c>
      <c r="CB6" s="2">
        <v>79.319999999999993</v>
      </c>
      <c r="CC6" s="2">
        <v>78.27</v>
      </c>
      <c r="CD6" s="2">
        <v>83.79</v>
      </c>
      <c r="CE6" s="2">
        <v>80.02</v>
      </c>
      <c r="CF6" s="2">
        <v>71.03</v>
      </c>
      <c r="CG6" s="2">
        <v>75.05</v>
      </c>
      <c r="CH6" s="2">
        <v>76.36</v>
      </c>
      <c r="CI6" s="2">
        <v>75.73</v>
      </c>
      <c r="CJ6" s="2">
        <v>79.8</v>
      </c>
      <c r="CK6" s="2">
        <v>75.37</v>
      </c>
      <c r="CL6" s="2">
        <v>81.06</v>
      </c>
      <c r="CM6" s="2">
        <v>71.73</v>
      </c>
      <c r="CN6" s="2">
        <v>79.87</v>
      </c>
      <c r="CO6" s="2">
        <v>69.180000000000007</v>
      </c>
      <c r="CP6" s="2">
        <v>77.3</v>
      </c>
      <c r="CQ6" s="2">
        <v>75.739999999999995</v>
      </c>
      <c r="CR6" s="2">
        <v>82.6</v>
      </c>
      <c r="CS6" s="2">
        <v>76.349999999999994</v>
      </c>
      <c r="CT6" s="2">
        <v>78.09</v>
      </c>
      <c r="CU6" s="2">
        <v>75.73</v>
      </c>
      <c r="CV6" s="2">
        <v>69.48</v>
      </c>
      <c r="CW6" s="2">
        <v>77.52</v>
      </c>
      <c r="CX6" s="2">
        <f t="shared" si="0"/>
        <v>76.988900000000015</v>
      </c>
    </row>
    <row r="7" spans="1:102" x14ac:dyDescent="0.2">
      <c r="A7" s="3" t="s">
        <v>124</v>
      </c>
      <c r="B7" s="2">
        <v>78.16</v>
      </c>
      <c r="C7" s="2">
        <v>68.040000000000006</v>
      </c>
      <c r="D7" s="2">
        <v>73.680000000000007</v>
      </c>
      <c r="E7" s="2">
        <v>81.91</v>
      </c>
      <c r="F7" s="2">
        <v>79.92</v>
      </c>
      <c r="G7" s="2">
        <v>76.260000000000005</v>
      </c>
      <c r="H7" s="2">
        <v>76.39</v>
      </c>
      <c r="I7" s="2">
        <v>73.11</v>
      </c>
      <c r="J7" s="2">
        <v>78.7</v>
      </c>
      <c r="K7" s="2">
        <v>73.17</v>
      </c>
      <c r="L7" s="2">
        <v>80.599999999999994</v>
      </c>
      <c r="M7" s="2">
        <v>73.290000000000006</v>
      </c>
      <c r="N7" s="2">
        <v>76.12</v>
      </c>
      <c r="O7" s="2">
        <v>75.91</v>
      </c>
      <c r="P7" s="2">
        <v>76.08</v>
      </c>
      <c r="Q7" s="2">
        <v>78.95</v>
      </c>
      <c r="R7" s="2">
        <v>76.83</v>
      </c>
      <c r="S7" s="2">
        <v>77.510000000000005</v>
      </c>
      <c r="T7" s="2">
        <v>77.56</v>
      </c>
      <c r="U7" s="2">
        <v>73.48</v>
      </c>
      <c r="V7" s="2">
        <v>83.89</v>
      </c>
      <c r="W7" s="2">
        <v>70.86</v>
      </c>
      <c r="X7" s="2">
        <v>74.540000000000006</v>
      </c>
      <c r="Y7" s="2">
        <v>75.430000000000007</v>
      </c>
      <c r="Z7" s="2">
        <v>74.19</v>
      </c>
      <c r="AA7" s="2">
        <v>74.13</v>
      </c>
      <c r="AB7" s="2">
        <v>77.08</v>
      </c>
      <c r="AC7" s="2">
        <v>73.94</v>
      </c>
      <c r="AD7" s="2">
        <v>84.64</v>
      </c>
      <c r="AE7" s="2">
        <v>80.09</v>
      </c>
      <c r="AF7" s="2">
        <v>75.78</v>
      </c>
      <c r="AG7" s="2">
        <v>78.44</v>
      </c>
      <c r="AH7" s="2">
        <v>83.38</v>
      </c>
      <c r="AI7" s="2">
        <v>76.7</v>
      </c>
      <c r="AJ7" s="2">
        <v>78.540000000000006</v>
      </c>
      <c r="AK7" s="2">
        <v>81.069999999999993</v>
      </c>
      <c r="AL7" s="2">
        <v>80.510000000000005</v>
      </c>
      <c r="AM7" s="2">
        <v>77.489999999999995</v>
      </c>
      <c r="AN7" s="2">
        <v>74.09</v>
      </c>
      <c r="AO7" s="2">
        <v>79.510000000000005</v>
      </c>
      <c r="AP7" s="2">
        <v>79.69</v>
      </c>
      <c r="AQ7" s="2">
        <v>73.62</v>
      </c>
      <c r="AR7" s="2">
        <v>79.62</v>
      </c>
      <c r="AS7" s="2">
        <v>78.55</v>
      </c>
      <c r="AT7" s="2">
        <v>75.680000000000007</v>
      </c>
      <c r="AU7" s="2">
        <v>74.86</v>
      </c>
      <c r="AV7" s="2">
        <v>69.16</v>
      </c>
      <c r="AW7" s="2">
        <v>75.56</v>
      </c>
      <c r="AX7" s="2">
        <v>78.64</v>
      </c>
      <c r="AY7" s="2">
        <v>80.37</v>
      </c>
      <c r="AZ7" s="2">
        <v>76.08</v>
      </c>
      <c r="BA7" s="2">
        <v>76.75</v>
      </c>
      <c r="BB7" s="2">
        <v>77.25</v>
      </c>
      <c r="BC7" s="2">
        <v>78.680000000000007</v>
      </c>
      <c r="BD7" s="2">
        <v>75.709999999999994</v>
      </c>
      <c r="BE7" s="2">
        <v>76.2</v>
      </c>
      <c r="BF7" s="2">
        <v>75.790000000000006</v>
      </c>
      <c r="BG7" s="2">
        <v>80.260000000000005</v>
      </c>
      <c r="BH7" s="2">
        <v>81.42</v>
      </c>
      <c r="BI7" s="2">
        <v>76.2</v>
      </c>
      <c r="BJ7" s="2">
        <v>77.41</v>
      </c>
      <c r="BK7" s="2">
        <v>76.53</v>
      </c>
      <c r="BL7" s="2">
        <v>77.12</v>
      </c>
      <c r="BM7" s="2">
        <v>80.95</v>
      </c>
      <c r="BN7" s="2">
        <v>74.25</v>
      </c>
      <c r="BO7" s="2">
        <v>83.74</v>
      </c>
      <c r="BP7" s="2">
        <v>80.88</v>
      </c>
      <c r="BQ7" s="2">
        <v>74.44</v>
      </c>
      <c r="BR7" s="2">
        <v>77.27</v>
      </c>
      <c r="BS7" s="2">
        <v>79.540000000000006</v>
      </c>
      <c r="BT7" s="2">
        <v>84.4</v>
      </c>
      <c r="BU7" s="2">
        <v>79.44</v>
      </c>
      <c r="BV7" s="2">
        <v>78</v>
      </c>
      <c r="BW7" s="2">
        <v>78.97</v>
      </c>
      <c r="BX7" s="2">
        <v>73.010000000000005</v>
      </c>
      <c r="BY7" s="2">
        <v>80.72</v>
      </c>
      <c r="BZ7" s="2">
        <v>77.19</v>
      </c>
      <c r="CA7" s="2">
        <v>70.790000000000006</v>
      </c>
      <c r="CB7" s="2">
        <v>82.01</v>
      </c>
      <c r="CC7" s="2">
        <v>77.62</v>
      </c>
      <c r="CD7" s="2">
        <v>81.94</v>
      </c>
      <c r="CE7" s="2">
        <v>76.61</v>
      </c>
      <c r="CF7" s="2">
        <v>66.7</v>
      </c>
      <c r="CG7" s="2">
        <v>77.22</v>
      </c>
      <c r="CH7" s="2">
        <v>79.239999999999995</v>
      </c>
      <c r="CI7" s="2">
        <v>80.28</v>
      </c>
      <c r="CJ7" s="2">
        <v>76.180000000000007</v>
      </c>
      <c r="CK7" s="2">
        <v>74.739999999999995</v>
      </c>
      <c r="CL7" s="2">
        <v>80.88</v>
      </c>
      <c r="CM7" s="2">
        <v>75.44</v>
      </c>
      <c r="CN7" s="2">
        <v>78.650000000000006</v>
      </c>
      <c r="CO7" s="2">
        <v>74.819999999999993</v>
      </c>
      <c r="CP7" s="2">
        <v>77.95</v>
      </c>
      <c r="CQ7" s="2">
        <v>78.040000000000006</v>
      </c>
      <c r="CR7" s="2">
        <v>79.87</v>
      </c>
      <c r="CS7" s="2">
        <v>81.010000000000005</v>
      </c>
      <c r="CT7" s="2">
        <v>78.599999999999994</v>
      </c>
      <c r="CU7" s="2">
        <v>76.2</v>
      </c>
      <c r="CV7" s="2">
        <v>68.73</v>
      </c>
      <c r="CW7" s="2">
        <v>82.4</v>
      </c>
      <c r="CX7" s="2">
        <f t="shared" si="0"/>
        <v>77.298399999999958</v>
      </c>
    </row>
    <row r="8" spans="1:102" x14ac:dyDescent="0.2">
      <c r="A8" s="3" t="s">
        <v>125</v>
      </c>
      <c r="B8" s="2">
        <v>81.86</v>
      </c>
      <c r="C8" s="2">
        <v>75.52</v>
      </c>
      <c r="D8" s="2">
        <v>72.61</v>
      </c>
      <c r="E8" s="2">
        <v>79.25</v>
      </c>
      <c r="F8" s="2">
        <v>75.44</v>
      </c>
      <c r="G8" s="2">
        <v>76.14</v>
      </c>
      <c r="H8" s="2">
        <v>73.81</v>
      </c>
      <c r="I8" s="2">
        <v>75.06</v>
      </c>
      <c r="J8" s="2">
        <v>79.89</v>
      </c>
      <c r="K8" s="2">
        <v>72.25</v>
      </c>
      <c r="L8" s="2">
        <v>77.33</v>
      </c>
      <c r="M8" s="2">
        <v>68.23</v>
      </c>
      <c r="N8" s="2">
        <v>78.91</v>
      </c>
      <c r="O8" s="2">
        <v>72.260000000000005</v>
      </c>
      <c r="P8" s="2">
        <v>73.73</v>
      </c>
      <c r="Q8" s="2">
        <v>75.22</v>
      </c>
      <c r="R8" s="2">
        <v>78.25</v>
      </c>
      <c r="S8" s="2">
        <v>78.849999999999994</v>
      </c>
      <c r="T8" s="2">
        <v>75.06</v>
      </c>
      <c r="U8" s="2">
        <v>73.010000000000005</v>
      </c>
      <c r="V8" s="2">
        <v>79.64</v>
      </c>
      <c r="W8" s="2">
        <v>76.72</v>
      </c>
      <c r="X8" s="2">
        <v>76.78</v>
      </c>
      <c r="Y8" s="2">
        <v>71.739999999999995</v>
      </c>
      <c r="Z8" s="2">
        <v>71.47</v>
      </c>
      <c r="AA8" s="2">
        <v>77.94</v>
      </c>
      <c r="AB8" s="2">
        <v>73.17</v>
      </c>
      <c r="AC8" s="2">
        <v>74.08</v>
      </c>
      <c r="AD8" s="2">
        <v>81.56</v>
      </c>
      <c r="AE8" s="2">
        <v>75.930000000000007</v>
      </c>
      <c r="AF8" s="2">
        <v>76.510000000000005</v>
      </c>
      <c r="AG8" s="2">
        <v>77.16</v>
      </c>
      <c r="AH8" s="2">
        <v>82.8</v>
      </c>
      <c r="AI8" s="2">
        <v>75.02</v>
      </c>
      <c r="AJ8" s="2">
        <v>80.25</v>
      </c>
      <c r="AK8" s="2">
        <v>77.98</v>
      </c>
      <c r="AL8" s="2">
        <v>74.349999999999994</v>
      </c>
      <c r="AM8" s="2">
        <v>77.819999999999993</v>
      </c>
      <c r="AN8" s="2">
        <v>69.180000000000007</v>
      </c>
      <c r="AO8" s="2">
        <v>80.19</v>
      </c>
      <c r="AP8" s="2">
        <v>81.56</v>
      </c>
      <c r="AQ8" s="2">
        <v>72.09</v>
      </c>
      <c r="AR8" s="2">
        <v>74.319999999999993</v>
      </c>
      <c r="AS8" s="2">
        <v>76.819999999999993</v>
      </c>
      <c r="AT8" s="2">
        <v>73.400000000000006</v>
      </c>
      <c r="AU8" s="2">
        <v>70.040000000000006</v>
      </c>
      <c r="AV8" s="2">
        <v>66.94</v>
      </c>
      <c r="AW8" s="2">
        <v>80.84</v>
      </c>
      <c r="AX8" s="2">
        <v>75.48</v>
      </c>
      <c r="AY8" s="2">
        <v>83.05</v>
      </c>
      <c r="AZ8" s="2">
        <v>80.959999999999994</v>
      </c>
      <c r="BA8" s="2">
        <v>75.94</v>
      </c>
      <c r="BB8" s="2">
        <v>73.400000000000006</v>
      </c>
      <c r="BC8" s="2">
        <v>77.91</v>
      </c>
      <c r="BD8" s="2">
        <v>74.86</v>
      </c>
      <c r="BE8" s="2">
        <v>75.569999999999993</v>
      </c>
      <c r="BF8" s="2">
        <v>73.7</v>
      </c>
      <c r="BG8" s="2">
        <v>83.51</v>
      </c>
      <c r="BH8" s="2">
        <v>80.95</v>
      </c>
      <c r="BI8" s="2">
        <v>71.88</v>
      </c>
      <c r="BJ8" s="2">
        <v>75.099999999999994</v>
      </c>
      <c r="BK8" s="2">
        <v>75.819999999999993</v>
      </c>
      <c r="BL8" s="2">
        <v>74.900000000000006</v>
      </c>
      <c r="BM8" s="2">
        <v>79.28</v>
      </c>
      <c r="BN8" s="2">
        <v>71.260000000000005</v>
      </c>
      <c r="BO8" s="2">
        <v>78.67</v>
      </c>
      <c r="BP8" s="2">
        <v>77.459999999999994</v>
      </c>
      <c r="BQ8" s="2">
        <v>77.86</v>
      </c>
      <c r="BR8" s="2">
        <v>79.86</v>
      </c>
      <c r="BS8" s="2">
        <v>74.69</v>
      </c>
      <c r="BT8" s="2">
        <v>81.510000000000005</v>
      </c>
      <c r="BU8" s="2">
        <v>75.02</v>
      </c>
      <c r="BV8" s="2">
        <v>75.180000000000007</v>
      </c>
      <c r="BW8" s="2">
        <v>78.5</v>
      </c>
      <c r="BX8" s="2">
        <v>71.44</v>
      </c>
      <c r="BY8" s="2">
        <v>81.400000000000006</v>
      </c>
      <c r="BZ8" s="2">
        <v>74.709999999999994</v>
      </c>
      <c r="CA8" s="2">
        <v>74.36</v>
      </c>
      <c r="CB8" s="2">
        <v>78.680000000000007</v>
      </c>
      <c r="CC8" s="2">
        <v>78.11</v>
      </c>
      <c r="CD8" s="2">
        <v>75.3</v>
      </c>
      <c r="CE8" s="2">
        <v>78.89</v>
      </c>
      <c r="CF8" s="2">
        <v>67.19</v>
      </c>
      <c r="CG8" s="2">
        <v>80.88</v>
      </c>
      <c r="CH8" s="2">
        <v>71.819999999999993</v>
      </c>
      <c r="CI8" s="2">
        <v>77.09</v>
      </c>
      <c r="CJ8" s="2">
        <v>76.540000000000006</v>
      </c>
      <c r="CK8" s="2">
        <v>71.180000000000007</v>
      </c>
      <c r="CL8" s="2">
        <v>77.86</v>
      </c>
      <c r="CM8" s="2">
        <v>74.260000000000005</v>
      </c>
      <c r="CN8" s="2">
        <v>79.11</v>
      </c>
      <c r="CO8" s="2">
        <v>76.63</v>
      </c>
      <c r="CP8" s="2">
        <v>78.87</v>
      </c>
      <c r="CQ8" s="2">
        <v>74.349999999999994</v>
      </c>
      <c r="CR8" s="2">
        <v>77.94</v>
      </c>
      <c r="CS8" s="2">
        <v>79.989999999999995</v>
      </c>
      <c r="CT8" s="2">
        <v>75.59</v>
      </c>
      <c r="CU8" s="2">
        <v>75.81</v>
      </c>
      <c r="CV8" s="2">
        <v>78.349999999999994</v>
      </c>
      <c r="CW8" s="2">
        <v>80.78</v>
      </c>
      <c r="CX8" s="2">
        <f t="shared" si="0"/>
        <v>76.284299999999988</v>
      </c>
    </row>
    <row r="9" spans="1:102" x14ac:dyDescent="0.2">
      <c r="A9" s="3" t="s">
        <v>126</v>
      </c>
      <c r="B9" s="2">
        <v>81.55</v>
      </c>
      <c r="C9" s="2">
        <v>77.959999999999994</v>
      </c>
      <c r="D9" s="2">
        <v>72.14</v>
      </c>
      <c r="E9" s="2">
        <v>73.41</v>
      </c>
      <c r="F9" s="2">
        <v>80.45</v>
      </c>
      <c r="G9" s="2">
        <v>74.27</v>
      </c>
      <c r="H9" s="2">
        <v>75.709999999999994</v>
      </c>
      <c r="I9" s="2">
        <v>76.400000000000006</v>
      </c>
      <c r="J9" s="2">
        <v>80.67</v>
      </c>
      <c r="K9" s="2">
        <v>73.59</v>
      </c>
      <c r="L9" s="2">
        <v>78.12</v>
      </c>
      <c r="M9" s="2">
        <v>77.03</v>
      </c>
      <c r="N9" s="2">
        <v>79.959999999999994</v>
      </c>
      <c r="O9" s="2">
        <v>78.05</v>
      </c>
      <c r="P9" s="2">
        <v>84.61</v>
      </c>
      <c r="Q9" s="2">
        <v>79.48</v>
      </c>
      <c r="R9" s="2">
        <v>78.52</v>
      </c>
      <c r="S9" s="2">
        <v>84.26</v>
      </c>
      <c r="T9" s="2">
        <v>74.16</v>
      </c>
      <c r="U9" s="2">
        <v>75.89</v>
      </c>
      <c r="V9" s="2">
        <v>73.02</v>
      </c>
      <c r="W9" s="2">
        <v>78.680000000000007</v>
      </c>
      <c r="X9" s="2">
        <v>79.12</v>
      </c>
      <c r="Y9" s="2">
        <v>76.260000000000005</v>
      </c>
      <c r="Z9" s="2">
        <v>75.349999999999994</v>
      </c>
      <c r="AA9" s="2">
        <v>78.44</v>
      </c>
      <c r="AB9" s="2">
        <v>71.05</v>
      </c>
      <c r="AC9" s="2">
        <v>82.79</v>
      </c>
      <c r="AD9" s="2">
        <v>80.53</v>
      </c>
      <c r="AE9" s="2">
        <v>77.150000000000006</v>
      </c>
      <c r="AF9" s="2">
        <v>80.67</v>
      </c>
      <c r="AG9" s="2">
        <v>76.209999999999994</v>
      </c>
      <c r="AH9" s="2">
        <v>83.33</v>
      </c>
      <c r="AI9" s="2">
        <v>75.099999999999994</v>
      </c>
      <c r="AJ9" s="2">
        <v>72.36</v>
      </c>
      <c r="AK9" s="2">
        <v>74.959999999999994</v>
      </c>
      <c r="AL9" s="2">
        <v>79.47</v>
      </c>
      <c r="AM9" s="2">
        <v>73.22</v>
      </c>
      <c r="AN9" s="2">
        <v>71.92</v>
      </c>
      <c r="AO9" s="2">
        <v>75.23</v>
      </c>
      <c r="AP9" s="2">
        <v>82.79</v>
      </c>
      <c r="AQ9" s="2">
        <v>78.78</v>
      </c>
      <c r="AR9" s="2">
        <v>74.97</v>
      </c>
      <c r="AS9" s="2">
        <v>72.58</v>
      </c>
      <c r="AT9" s="2">
        <v>76</v>
      </c>
      <c r="AU9" s="2">
        <v>75.650000000000006</v>
      </c>
      <c r="AV9" s="2">
        <v>79.239999999999995</v>
      </c>
      <c r="AW9" s="2">
        <v>79.88</v>
      </c>
      <c r="AX9" s="2">
        <v>82.88</v>
      </c>
      <c r="AY9" s="2">
        <v>83.05</v>
      </c>
      <c r="AZ9" s="2">
        <v>82.51</v>
      </c>
      <c r="BA9" s="2">
        <v>74.75</v>
      </c>
      <c r="BB9" s="2">
        <v>76.08</v>
      </c>
      <c r="BC9" s="2">
        <v>75.680000000000007</v>
      </c>
      <c r="BD9" s="2">
        <v>79.3</v>
      </c>
      <c r="BE9" s="2">
        <v>76.77</v>
      </c>
      <c r="BF9" s="2">
        <v>72.44</v>
      </c>
      <c r="BG9" s="2">
        <v>80.709999999999994</v>
      </c>
      <c r="BH9" s="2">
        <v>76.39</v>
      </c>
      <c r="BI9" s="2">
        <v>72.09</v>
      </c>
      <c r="BJ9" s="2">
        <v>76.349999999999994</v>
      </c>
      <c r="BK9" s="2">
        <v>74.66</v>
      </c>
      <c r="BL9" s="2">
        <v>77.64</v>
      </c>
      <c r="BM9" s="2">
        <v>76.099999999999994</v>
      </c>
      <c r="BN9" s="2">
        <v>74.599999999999994</v>
      </c>
      <c r="BO9" s="2">
        <v>79.02</v>
      </c>
      <c r="BP9" s="2">
        <v>81.02</v>
      </c>
      <c r="BQ9" s="2">
        <v>79.3</v>
      </c>
      <c r="BR9" s="2">
        <v>79.400000000000006</v>
      </c>
      <c r="BS9" s="2">
        <v>74.959999999999994</v>
      </c>
      <c r="BT9" s="2">
        <v>76.81</v>
      </c>
      <c r="BU9" s="2">
        <v>83.78</v>
      </c>
      <c r="BV9" s="2">
        <v>75.08</v>
      </c>
      <c r="BW9" s="2">
        <v>73.430000000000007</v>
      </c>
      <c r="BX9" s="2">
        <v>77.92</v>
      </c>
      <c r="BY9" s="2">
        <v>79.319999999999993</v>
      </c>
      <c r="BZ9" s="2">
        <v>75.239999999999995</v>
      </c>
      <c r="CA9" s="2">
        <v>72.97</v>
      </c>
      <c r="CB9" s="2">
        <v>76.94</v>
      </c>
      <c r="CC9" s="2">
        <v>77.36</v>
      </c>
      <c r="CD9" s="2">
        <v>74.38</v>
      </c>
      <c r="CE9" s="2">
        <v>76.739999999999995</v>
      </c>
      <c r="CF9" s="2">
        <v>71.27</v>
      </c>
      <c r="CG9" s="2">
        <v>79.569999999999993</v>
      </c>
      <c r="CH9" s="2">
        <v>76.069999999999993</v>
      </c>
      <c r="CI9" s="2">
        <v>78.739999999999995</v>
      </c>
      <c r="CJ9" s="2">
        <v>77.33</v>
      </c>
      <c r="CK9" s="2">
        <v>70.709999999999994</v>
      </c>
      <c r="CL9" s="2">
        <v>83.49</v>
      </c>
      <c r="CM9" s="2">
        <v>77.84</v>
      </c>
      <c r="CN9" s="2">
        <v>80.680000000000007</v>
      </c>
      <c r="CO9" s="2">
        <v>79.66</v>
      </c>
      <c r="CP9" s="2">
        <v>79.45</v>
      </c>
      <c r="CQ9" s="2">
        <v>73.260000000000005</v>
      </c>
      <c r="CR9" s="2">
        <v>79.510000000000005</v>
      </c>
      <c r="CS9" s="2">
        <v>81.19</v>
      </c>
      <c r="CT9" s="2">
        <v>74.84</v>
      </c>
      <c r="CU9" s="2">
        <v>77.08</v>
      </c>
      <c r="CV9" s="2">
        <v>75.260000000000005</v>
      </c>
      <c r="CW9" s="2">
        <v>76.53</v>
      </c>
      <c r="CX9" s="2">
        <f t="shared" si="0"/>
        <v>77.291300000000035</v>
      </c>
    </row>
    <row r="10" spans="1:102" x14ac:dyDescent="0.2">
      <c r="A10" s="3" t="s">
        <v>127</v>
      </c>
      <c r="B10" s="2">
        <v>80.98</v>
      </c>
      <c r="C10" s="2">
        <v>78.23</v>
      </c>
      <c r="D10" s="2">
        <v>75.45</v>
      </c>
      <c r="E10" s="2">
        <v>75.599999999999994</v>
      </c>
      <c r="F10" s="2">
        <v>82.61</v>
      </c>
      <c r="G10" s="2">
        <v>73.73</v>
      </c>
      <c r="H10" s="2">
        <v>82.05</v>
      </c>
      <c r="I10" s="2">
        <v>74.33</v>
      </c>
      <c r="J10" s="2">
        <v>77.430000000000007</v>
      </c>
      <c r="K10" s="2">
        <v>77</v>
      </c>
      <c r="L10" s="2">
        <v>79.739999999999995</v>
      </c>
      <c r="M10" s="2">
        <v>80.34</v>
      </c>
      <c r="N10" s="2">
        <v>82.36</v>
      </c>
      <c r="O10" s="2">
        <v>77.8</v>
      </c>
      <c r="P10" s="2">
        <v>80.489999999999995</v>
      </c>
      <c r="Q10" s="2">
        <v>74.69</v>
      </c>
      <c r="R10" s="2">
        <v>81.03</v>
      </c>
      <c r="S10" s="2">
        <v>80.17</v>
      </c>
      <c r="T10" s="2">
        <v>73.209999999999994</v>
      </c>
      <c r="U10" s="2">
        <v>74.069999999999993</v>
      </c>
      <c r="V10" s="2">
        <v>76.39</v>
      </c>
      <c r="W10" s="2">
        <v>73.22</v>
      </c>
      <c r="X10" s="2">
        <v>72.91</v>
      </c>
      <c r="Y10" s="2">
        <v>75.069999999999993</v>
      </c>
      <c r="Z10" s="2">
        <v>77.66</v>
      </c>
      <c r="AA10" s="2">
        <v>78.099999999999994</v>
      </c>
      <c r="AB10" s="2">
        <v>69.97</v>
      </c>
      <c r="AC10" s="2">
        <v>87.06</v>
      </c>
      <c r="AD10" s="2">
        <v>78.92</v>
      </c>
      <c r="AE10" s="2">
        <v>76.150000000000006</v>
      </c>
      <c r="AF10" s="2">
        <v>79.680000000000007</v>
      </c>
      <c r="AG10" s="2">
        <v>76</v>
      </c>
      <c r="AH10" s="2">
        <v>79.319999999999993</v>
      </c>
      <c r="AI10" s="2">
        <v>74.709999999999994</v>
      </c>
      <c r="AJ10" s="2">
        <v>70.94</v>
      </c>
      <c r="AK10" s="2">
        <v>77.44</v>
      </c>
      <c r="AL10" s="2">
        <v>82.48</v>
      </c>
      <c r="AM10" s="2">
        <v>74.64</v>
      </c>
      <c r="AN10" s="2">
        <v>77.53</v>
      </c>
      <c r="AO10" s="2">
        <v>77.66</v>
      </c>
      <c r="AP10" s="2">
        <v>80.03</v>
      </c>
      <c r="AQ10" s="2">
        <v>70.900000000000006</v>
      </c>
      <c r="AR10" s="2">
        <v>73.05</v>
      </c>
      <c r="AS10" s="2">
        <v>71.5</v>
      </c>
      <c r="AT10" s="2">
        <v>76.209999999999994</v>
      </c>
      <c r="AU10" s="2">
        <v>77.19</v>
      </c>
      <c r="AV10" s="2">
        <v>79.75</v>
      </c>
      <c r="AW10" s="2">
        <v>76.13</v>
      </c>
      <c r="AX10" s="2">
        <v>77.36</v>
      </c>
      <c r="AY10" s="2">
        <v>80.87</v>
      </c>
      <c r="AZ10" s="2">
        <v>81.95</v>
      </c>
      <c r="BA10" s="2">
        <v>75.27</v>
      </c>
      <c r="BB10" s="2">
        <v>76.180000000000007</v>
      </c>
      <c r="BC10" s="2">
        <v>80.599999999999994</v>
      </c>
      <c r="BD10" s="2">
        <v>74.13</v>
      </c>
      <c r="BE10" s="2">
        <v>74.34</v>
      </c>
      <c r="BF10" s="2">
        <v>77.69</v>
      </c>
      <c r="BG10" s="2">
        <v>82.79</v>
      </c>
      <c r="BH10" s="2">
        <v>79.14</v>
      </c>
      <c r="BI10" s="2">
        <v>73.849999999999994</v>
      </c>
      <c r="BJ10" s="2">
        <v>75.55</v>
      </c>
      <c r="BK10" s="2">
        <v>70.95</v>
      </c>
      <c r="BL10" s="2">
        <v>79.31</v>
      </c>
      <c r="BM10" s="2">
        <v>73.989999999999995</v>
      </c>
      <c r="BN10" s="2">
        <v>73.63</v>
      </c>
      <c r="BO10" s="2">
        <v>79.569999999999993</v>
      </c>
      <c r="BP10" s="2">
        <v>81.96</v>
      </c>
      <c r="BQ10" s="2">
        <v>80.05</v>
      </c>
      <c r="BR10" s="2">
        <v>80.239999999999995</v>
      </c>
      <c r="BS10" s="2">
        <v>70.510000000000005</v>
      </c>
      <c r="BT10" s="2">
        <v>79.28</v>
      </c>
      <c r="BU10" s="2">
        <v>82.76</v>
      </c>
      <c r="BV10" s="2">
        <v>74.489999999999995</v>
      </c>
      <c r="BW10" s="2">
        <v>76.23</v>
      </c>
      <c r="BX10" s="2">
        <v>75.430000000000007</v>
      </c>
      <c r="BY10" s="2">
        <v>77.989999999999995</v>
      </c>
      <c r="BZ10" s="2">
        <v>75.73</v>
      </c>
      <c r="CA10" s="2">
        <v>76.91</v>
      </c>
      <c r="CB10" s="2">
        <v>74.489999999999995</v>
      </c>
      <c r="CC10" s="2">
        <v>76.2</v>
      </c>
      <c r="CD10" s="2">
        <v>71.67</v>
      </c>
      <c r="CE10" s="2">
        <v>81.459999999999994</v>
      </c>
      <c r="CF10" s="2">
        <v>75.63</v>
      </c>
      <c r="CG10" s="2">
        <v>76.040000000000006</v>
      </c>
      <c r="CH10" s="2">
        <v>75.23</v>
      </c>
      <c r="CI10" s="2">
        <v>78.39</v>
      </c>
      <c r="CJ10" s="2">
        <v>75.790000000000006</v>
      </c>
      <c r="CK10" s="2">
        <v>76.22</v>
      </c>
      <c r="CL10" s="2">
        <v>79.790000000000006</v>
      </c>
      <c r="CM10" s="2">
        <v>73.540000000000006</v>
      </c>
      <c r="CN10" s="2">
        <v>76.19</v>
      </c>
      <c r="CO10" s="2">
        <v>74.62</v>
      </c>
      <c r="CP10" s="2">
        <v>75.37</v>
      </c>
      <c r="CQ10" s="2">
        <v>69.39</v>
      </c>
      <c r="CR10" s="2">
        <v>79.72</v>
      </c>
      <c r="CS10" s="2">
        <v>79.42</v>
      </c>
      <c r="CT10" s="2">
        <v>75.37</v>
      </c>
      <c r="CU10" s="2">
        <v>70.260000000000005</v>
      </c>
      <c r="CV10" s="2">
        <v>76.62</v>
      </c>
      <c r="CW10" s="2">
        <v>79.2</v>
      </c>
      <c r="CX10" s="2">
        <f t="shared" si="0"/>
        <v>76.912800000000004</v>
      </c>
    </row>
    <row r="11" spans="1:102" x14ac:dyDescent="0.2">
      <c r="A11" s="3" t="s">
        <v>128</v>
      </c>
      <c r="B11" s="2">
        <v>77.739999999999995</v>
      </c>
      <c r="C11" s="2">
        <v>72.7</v>
      </c>
      <c r="D11" s="2">
        <v>75.77</v>
      </c>
      <c r="E11" s="2">
        <v>73.61</v>
      </c>
      <c r="F11" s="2">
        <v>82.18</v>
      </c>
      <c r="G11" s="2">
        <v>78.61</v>
      </c>
      <c r="H11" s="2">
        <v>80.28</v>
      </c>
      <c r="I11" s="2">
        <v>74</v>
      </c>
      <c r="J11" s="2">
        <v>75.89</v>
      </c>
      <c r="K11" s="2">
        <v>76.39</v>
      </c>
      <c r="L11" s="2">
        <v>75.41</v>
      </c>
      <c r="M11" s="2">
        <v>80.44</v>
      </c>
      <c r="N11" s="2">
        <v>80.81</v>
      </c>
      <c r="O11" s="2">
        <v>76.8</v>
      </c>
      <c r="P11" s="2">
        <v>76.77</v>
      </c>
      <c r="Q11" s="2">
        <v>79.680000000000007</v>
      </c>
      <c r="R11" s="2">
        <v>81.34</v>
      </c>
      <c r="S11" s="2">
        <v>83.14</v>
      </c>
      <c r="T11" s="2">
        <v>69.78</v>
      </c>
      <c r="U11" s="2">
        <v>76.53</v>
      </c>
      <c r="V11" s="2">
        <v>73.430000000000007</v>
      </c>
      <c r="W11" s="2">
        <v>71.14</v>
      </c>
      <c r="X11" s="2">
        <v>71.819999999999993</v>
      </c>
      <c r="Y11" s="2">
        <v>73.099999999999994</v>
      </c>
      <c r="Z11" s="2">
        <v>78.150000000000006</v>
      </c>
      <c r="AA11" s="2">
        <v>83.69</v>
      </c>
      <c r="AB11" s="2">
        <v>74.75</v>
      </c>
      <c r="AC11" s="2">
        <v>78.02</v>
      </c>
      <c r="AD11" s="2">
        <v>81.34</v>
      </c>
      <c r="AE11" s="2">
        <v>74.319999999999993</v>
      </c>
      <c r="AF11" s="2">
        <v>81.489999999999995</v>
      </c>
      <c r="AG11" s="2">
        <v>75.23</v>
      </c>
      <c r="AH11" s="2">
        <v>80.37</v>
      </c>
      <c r="AI11" s="2">
        <v>74.930000000000007</v>
      </c>
      <c r="AJ11" s="2">
        <v>70.87</v>
      </c>
      <c r="AK11" s="2">
        <v>75.569999999999993</v>
      </c>
      <c r="AL11" s="2">
        <v>82.87</v>
      </c>
      <c r="AM11" s="2">
        <v>71.25</v>
      </c>
      <c r="AN11" s="2">
        <v>78.8</v>
      </c>
      <c r="AO11" s="2">
        <v>77.08</v>
      </c>
      <c r="AP11" s="2">
        <v>76.849999999999994</v>
      </c>
      <c r="AQ11" s="2">
        <v>70.22</v>
      </c>
      <c r="AR11" s="2">
        <v>75</v>
      </c>
      <c r="AS11" s="2">
        <v>74.010000000000005</v>
      </c>
      <c r="AT11" s="2">
        <v>78.19</v>
      </c>
      <c r="AU11" s="2">
        <v>78.23</v>
      </c>
      <c r="AV11" s="2">
        <v>77.28</v>
      </c>
      <c r="AW11" s="2">
        <v>73.37</v>
      </c>
      <c r="AX11" s="2">
        <v>77.510000000000005</v>
      </c>
      <c r="AY11" s="2">
        <v>78.34</v>
      </c>
      <c r="AZ11" s="2">
        <v>78.290000000000006</v>
      </c>
      <c r="BA11" s="2">
        <v>78.459999999999994</v>
      </c>
      <c r="BB11" s="2">
        <v>74.17</v>
      </c>
      <c r="BC11" s="2">
        <v>79.25</v>
      </c>
      <c r="BD11" s="2">
        <v>81.790000000000006</v>
      </c>
      <c r="BE11" s="2">
        <v>74.930000000000007</v>
      </c>
      <c r="BF11" s="2">
        <v>78.31</v>
      </c>
      <c r="BG11" s="2">
        <v>81.61</v>
      </c>
      <c r="BH11" s="2">
        <v>74.069999999999993</v>
      </c>
      <c r="BI11" s="2">
        <v>70.599999999999994</v>
      </c>
      <c r="BJ11" s="2">
        <v>76.13</v>
      </c>
      <c r="BK11" s="2">
        <v>72.33</v>
      </c>
      <c r="BL11" s="2">
        <v>80.13</v>
      </c>
      <c r="BM11" s="2">
        <v>70.27</v>
      </c>
      <c r="BN11" s="2">
        <v>80.88</v>
      </c>
      <c r="BO11" s="2">
        <v>80.5</v>
      </c>
      <c r="BP11" s="2">
        <v>78.23</v>
      </c>
      <c r="BQ11" s="2">
        <v>78.37</v>
      </c>
      <c r="BR11" s="2">
        <v>78.23</v>
      </c>
      <c r="BS11" s="2">
        <v>74.459999999999994</v>
      </c>
      <c r="BT11" s="2">
        <v>73.84</v>
      </c>
      <c r="BU11" s="2">
        <v>79.48</v>
      </c>
      <c r="BV11" s="2">
        <v>71.66</v>
      </c>
      <c r="BW11" s="2">
        <v>72.709999999999994</v>
      </c>
      <c r="BX11" s="2">
        <v>73.97</v>
      </c>
      <c r="BY11" s="2">
        <v>76.290000000000006</v>
      </c>
      <c r="BZ11" s="2">
        <v>73.63</v>
      </c>
      <c r="CA11" s="2">
        <v>79.319999999999993</v>
      </c>
      <c r="CB11" s="2">
        <v>75.97</v>
      </c>
      <c r="CC11" s="2">
        <v>74.150000000000006</v>
      </c>
      <c r="CD11" s="2">
        <v>76.16</v>
      </c>
      <c r="CE11" s="2">
        <v>79.400000000000006</v>
      </c>
      <c r="CF11" s="2">
        <v>74.89</v>
      </c>
      <c r="CG11" s="2">
        <v>79.209999999999994</v>
      </c>
      <c r="CH11" s="2">
        <v>75.099999999999994</v>
      </c>
      <c r="CI11" s="2">
        <v>74.989999999999995</v>
      </c>
      <c r="CJ11" s="2">
        <v>79.92</v>
      </c>
      <c r="CK11" s="2">
        <v>74.09</v>
      </c>
      <c r="CL11" s="2">
        <v>78.319999999999993</v>
      </c>
      <c r="CM11" s="2">
        <v>71.78</v>
      </c>
      <c r="CN11" s="2">
        <v>77.27</v>
      </c>
      <c r="CO11" s="2">
        <v>71.239999999999995</v>
      </c>
      <c r="CP11" s="2">
        <v>73.81</v>
      </c>
      <c r="CQ11" s="2">
        <v>73.19</v>
      </c>
      <c r="CR11" s="2">
        <v>75.44</v>
      </c>
      <c r="CS11" s="2">
        <v>77.41</v>
      </c>
      <c r="CT11" s="2">
        <v>75.989999999999995</v>
      </c>
      <c r="CU11" s="2">
        <v>74.59</v>
      </c>
      <c r="CV11" s="2">
        <v>81.52</v>
      </c>
      <c r="CW11" s="2">
        <v>78.62</v>
      </c>
      <c r="CX11" s="2">
        <f t="shared" si="0"/>
        <v>76.500599999999991</v>
      </c>
    </row>
    <row r="12" spans="1:102" x14ac:dyDescent="0.2">
      <c r="A12" s="3" t="s">
        <v>129</v>
      </c>
      <c r="B12" s="2">
        <v>78.239999999999995</v>
      </c>
      <c r="C12" s="2">
        <v>73.819999999999993</v>
      </c>
      <c r="D12" s="2">
        <v>78.87</v>
      </c>
      <c r="E12" s="2">
        <v>73.3</v>
      </c>
      <c r="F12" s="2">
        <v>79.12</v>
      </c>
      <c r="G12" s="2">
        <v>74.099999999999994</v>
      </c>
      <c r="H12" s="2">
        <v>79.48</v>
      </c>
      <c r="I12" s="2">
        <v>74.260000000000005</v>
      </c>
      <c r="J12" s="2">
        <v>66.62</v>
      </c>
      <c r="K12" s="2">
        <v>73.040000000000006</v>
      </c>
      <c r="L12" s="2">
        <v>76.05</v>
      </c>
      <c r="M12" s="2">
        <v>81.739999999999995</v>
      </c>
      <c r="N12" s="2">
        <v>80.41</v>
      </c>
      <c r="O12" s="2">
        <v>78.58</v>
      </c>
      <c r="P12" s="2">
        <v>67.73</v>
      </c>
      <c r="Q12" s="2">
        <v>80.61</v>
      </c>
      <c r="R12" s="2">
        <v>73.88</v>
      </c>
      <c r="S12" s="2">
        <v>80.61</v>
      </c>
      <c r="T12" s="2">
        <v>73.36</v>
      </c>
      <c r="U12" s="2">
        <v>79.349999999999994</v>
      </c>
      <c r="V12" s="2">
        <v>73</v>
      </c>
      <c r="W12" s="2">
        <v>73.81</v>
      </c>
      <c r="X12" s="2">
        <v>72.55</v>
      </c>
      <c r="Y12" s="2">
        <v>77.290000000000006</v>
      </c>
      <c r="Z12" s="2">
        <v>79.87</v>
      </c>
      <c r="AA12" s="2">
        <v>83.8</v>
      </c>
      <c r="AB12" s="2">
        <v>77.66</v>
      </c>
      <c r="AC12" s="2">
        <v>77.41</v>
      </c>
      <c r="AD12" s="2">
        <v>79.739999999999995</v>
      </c>
      <c r="AE12" s="2">
        <v>74.400000000000006</v>
      </c>
      <c r="AF12" s="2">
        <v>82.58</v>
      </c>
      <c r="AG12" s="2">
        <v>70.5</v>
      </c>
      <c r="AH12" s="2">
        <v>82.55</v>
      </c>
      <c r="AI12" s="2">
        <v>81.39</v>
      </c>
      <c r="AJ12" s="2">
        <v>72.52</v>
      </c>
      <c r="AK12" s="2">
        <v>75.400000000000006</v>
      </c>
      <c r="AL12" s="2">
        <v>76.97</v>
      </c>
      <c r="AM12" s="2">
        <v>75.52</v>
      </c>
      <c r="AN12" s="2">
        <v>81.08</v>
      </c>
      <c r="AO12" s="2">
        <v>76.319999999999993</v>
      </c>
      <c r="AP12" s="2">
        <v>74.59</v>
      </c>
      <c r="AQ12" s="2">
        <v>83.95</v>
      </c>
      <c r="AR12" s="2">
        <v>81.63</v>
      </c>
      <c r="AS12" s="2">
        <v>77.430000000000007</v>
      </c>
      <c r="AT12" s="2">
        <v>77.19</v>
      </c>
      <c r="AU12" s="2">
        <v>76.319999999999993</v>
      </c>
      <c r="AV12" s="2">
        <v>83.08</v>
      </c>
      <c r="AW12" s="2">
        <v>76.790000000000006</v>
      </c>
      <c r="AX12" s="2">
        <v>74.09</v>
      </c>
      <c r="AY12" s="2">
        <v>74.58</v>
      </c>
      <c r="AZ12" s="2">
        <v>76.64</v>
      </c>
      <c r="BA12" s="2">
        <v>78.150000000000006</v>
      </c>
      <c r="BB12" s="2">
        <v>79.599999999999994</v>
      </c>
      <c r="BC12" s="2">
        <v>76.33</v>
      </c>
      <c r="BD12" s="2">
        <v>78.81</v>
      </c>
      <c r="BE12" s="2">
        <v>82.9</v>
      </c>
      <c r="BF12" s="2">
        <v>76.040000000000006</v>
      </c>
      <c r="BG12" s="2">
        <v>80.989999999999995</v>
      </c>
      <c r="BH12" s="2">
        <v>73.680000000000007</v>
      </c>
      <c r="BI12" s="2">
        <v>76.36</v>
      </c>
      <c r="BJ12" s="2">
        <v>76.56</v>
      </c>
      <c r="BK12" s="2">
        <v>74.099999999999994</v>
      </c>
      <c r="BL12" s="2">
        <v>78.650000000000006</v>
      </c>
      <c r="BM12" s="2">
        <v>74.7</v>
      </c>
      <c r="BN12" s="2">
        <v>78.41</v>
      </c>
      <c r="BO12" s="2">
        <v>81.2</v>
      </c>
      <c r="BP12" s="2">
        <v>76.2</v>
      </c>
      <c r="BQ12" s="2">
        <v>77.209999999999994</v>
      </c>
      <c r="BR12" s="2">
        <v>75.5</v>
      </c>
      <c r="BS12" s="2">
        <v>75.64</v>
      </c>
      <c r="BT12" s="2">
        <v>74.14</v>
      </c>
      <c r="BU12" s="2">
        <v>70.430000000000007</v>
      </c>
      <c r="BV12" s="2">
        <v>74.819999999999993</v>
      </c>
      <c r="BW12" s="2">
        <v>78.150000000000006</v>
      </c>
      <c r="BX12" s="2">
        <v>74.45</v>
      </c>
      <c r="BY12" s="2">
        <v>74.239999999999995</v>
      </c>
      <c r="BZ12" s="2">
        <v>79.05</v>
      </c>
      <c r="CA12" s="2">
        <v>77.09</v>
      </c>
      <c r="CB12" s="2">
        <v>75.45</v>
      </c>
      <c r="CC12" s="2">
        <v>76.36</v>
      </c>
      <c r="CD12" s="2">
        <v>72.73</v>
      </c>
      <c r="CE12" s="2">
        <v>80.569999999999993</v>
      </c>
      <c r="CF12" s="2">
        <v>71.540000000000006</v>
      </c>
      <c r="CG12" s="2">
        <v>80.11</v>
      </c>
      <c r="CH12" s="2">
        <v>77.28</v>
      </c>
      <c r="CI12" s="2">
        <v>76.569999999999993</v>
      </c>
      <c r="CJ12" s="2">
        <v>80.23</v>
      </c>
      <c r="CK12" s="2">
        <v>79.2</v>
      </c>
      <c r="CL12" s="2">
        <v>77.849999999999994</v>
      </c>
      <c r="CM12" s="2">
        <v>69.540000000000006</v>
      </c>
      <c r="CN12" s="2">
        <v>75.41</v>
      </c>
      <c r="CO12" s="2">
        <v>71.98</v>
      </c>
      <c r="CP12" s="2">
        <v>78.040000000000006</v>
      </c>
      <c r="CQ12" s="2">
        <v>79.75</v>
      </c>
      <c r="CR12" s="2">
        <v>80.42</v>
      </c>
      <c r="CS12" s="2">
        <v>73.63</v>
      </c>
      <c r="CT12" s="2">
        <v>74.349999999999994</v>
      </c>
      <c r="CU12" s="2">
        <v>75.41</v>
      </c>
      <c r="CV12" s="2">
        <v>81.3</v>
      </c>
      <c r="CW12" s="2">
        <v>83.15</v>
      </c>
      <c r="CX12" s="2">
        <f t="shared" si="0"/>
        <v>76.880899999999968</v>
      </c>
    </row>
    <row r="13" spans="1:102" x14ac:dyDescent="0.2">
      <c r="A13" s="3" t="s">
        <v>130</v>
      </c>
      <c r="B13" s="2">
        <v>82.09</v>
      </c>
      <c r="C13" s="2">
        <v>80.150000000000006</v>
      </c>
      <c r="D13" s="2">
        <v>75.88</v>
      </c>
      <c r="E13" s="2">
        <v>77.75</v>
      </c>
      <c r="F13" s="2">
        <v>77.62</v>
      </c>
      <c r="G13" s="2">
        <v>76.19</v>
      </c>
      <c r="H13" s="2">
        <v>78.95</v>
      </c>
      <c r="I13" s="2">
        <v>77.97</v>
      </c>
      <c r="J13" s="2">
        <v>67.39</v>
      </c>
      <c r="K13" s="2">
        <v>75.69</v>
      </c>
      <c r="L13" s="2">
        <v>72.87</v>
      </c>
      <c r="M13" s="2">
        <v>76.67</v>
      </c>
      <c r="N13" s="2">
        <v>79.239999999999995</v>
      </c>
      <c r="O13" s="2">
        <v>74.010000000000005</v>
      </c>
      <c r="P13" s="2">
        <v>69.89</v>
      </c>
      <c r="Q13" s="2">
        <v>79.58</v>
      </c>
      <c r="R13" s="2">
        <v>77.849999999999994</v>
      </c>
      <c r="S13" s="2">
        <v>78.87</v>
      </c>
      <c r="T13" s="2">
        <v>74</v>
      </c>
      <c r="U13" s="2">
        <v>77.69</v>
      </c>
      <c r="V13" s="2">
        <v>78.47</v>
      </c>
      <c r="W13" s="2">
        <v>70.540000000000006</v>
      </c>
      <c r="X13" s="2">
        <v>72.42</v>
      </c>
      <c r="Y13" s="2">
        <v>80.12</v>
      </c>
      <c r="Z13" s="2">
        <v>75.790000000000006</v>
      </c>
      <c r="AA13" s="2">
        <v>81.47</v>
      </c>
      <c r="AB13" s="2">
        <v>80.25</v>
      </c>
      <c r="AC13" s="2">
        <v>74.930000000000007</v>
      </c>
      <c r="AD13" s="2">
        <v>69.88</v>
      </c>
      <c r="AE13" s="2">
        <v>74.75</v>
      </c>
      <c r="AF13" s="2">
        <v>77.819999999999993</v>
      </c>
      <c r="AG13" s="2">
        <v>71.91</v>
      </c>
      <c r="AH13" s="2">
        <v>78.73</v>
      </c>
      <c r="AI13" s="2">
        <v>83.12</v>
      </c>
      <c r="AJ13" s="2">
        <v>73.33</v>
      </c>
      <c r="AK13" s="2">
        <v>78.16</v>
      </c>
      <c r="AL13" s="2">
        <v>73.45</v>
      </c>
      <c r="AM13" s="2">
        <v>78.900000000000006</v>
      </c>
      <c r="AN13" s="2">
        <v>80.25</v>
      </c>
      <c r="AO13" s="2">
        <v>75.31</v>
      </c>
      <c r="AP13" s="2">
        <v>77.31</v>
      </c>
      <c r="AQ13" s="2">
        <v>79.13</v>
      </c>
      <c r="AR13" s="2">
        <v>75.05</v>
      </c>
      <c r="AS13" s="2">
        <v>75.77</v>
      </c>
      <c r="AT13" s="2">
        <v>79.44</v>
      </c>
      <c r="AU13" s="2">
        <v>76.47</v>
      </c>
      <c r="AV13" s="2">
        <v>77.75</v>
      </c>
      <c r="AW13" s="2">
        <v>81.72</v>
      </c>
      <c r="AX13" s="2">
        <v>78.87</v>
      </c>
      <c r="AY13" s="2">
        <v>71.67</v>
      </c>
      <c r="AZ13" s="2">
        <v>82.69</v>
      </c>
      <c r="BA13" s="2">
        <v>79.61</v>
      </c>
      <c r="BB13" s="2">
        <v>78.7</v>
      </c>
      <c r="BC13" s="2">
        <v>73.41</v>
      </c>
      <c r="BD13" s="2">
        <v>69.790000000000006</v>
      </c>
      <c r="BE13" s="2">
        <v>73.25</v>
      </c>
      <c r="BF13" s="2">
        <v>81.62</v>
      </c>
      <c r="BG13" s="2">
        <v>78.87</v>
      </c>
      <c r="BH13" s="2">
        <v>72.89</v>
      </c>
      <c r="BI13" s="2">
        <v>70.48</v>
      </c>
      <c r="BJ13" s="2">
        <v>75.58</v>
      </c>
      <c r="BK13" s="2">
        <v>79.900000000000006</v>
      </c>
      <c r="BL13" s="2">
        <v>78.319999999999993</v>
      </c>
      <c r="BM13" s="2">
        <v>80.28</v>
      </c>
      <c r="BN13" s="2">
        <v>80.430000000000007</v>
      </c>
      <c r="BO13" s="2">
        <v>81.900000000000006</v>
      </c>
      <c r="BP13" s="2">
        <v>80.680000000000007</v>
      </c>
      <c r="BQ13" s="2">
        <v>72.599999999999994</v>
      </c>
      <c r="BR13" s="2">
        <v>74.72</v>
      </c>
      <c r="BS13" s="2">
        <v>72.2</v>
      </c>
      <c r="BT13" s="2">
        <v>80.12</v>
      </c>
      <c r="BU13" s="2">
        <v>74.88</v>
      </c>
      <c r="BV13" s="2">
        <v>78.13</v>
      </c>
      <c r="BW13" s="2">
        <v>72.94</v>
      </c>
      <c r="BX13" s="2">
        <v>75.680000000000007</v>
      </c>
      <c r="BY13" s="2">
        <v>77.28</v>
      </c>
      <c r="BZ13" s="2">
        <v>75.92</v>
      </c>
      <c r="CA13" s="2">
        <v>74.959999999999994</v>
      </c>
      <c r="CB13" s="2">
        <v>66.510000000000005</v>
      </c>
      <c r="CC13" s="2">
        <v>73.23</v>
      </c>
      <c r="CD13" s="2">
        <v>79.010000000000005</v>
      </c>
      <c r="CE13" s="2">
        <v>80.91</v>
      </c>
      <c r="CF13" s="2">
        <v>82.05</v>
      </c>
      <c r="CG13" s="2">
        <v>80.39</v>
      </c>
      <c r="CH13" s="2">
        <v>76.540000000000006</v>
      </c>
      <c r="CI13" s="2">
        <v>76.86</v>
      </c>
      <c r="CJ13" s="2">
        <v>82.44</v>
      </c>
      <c r="CK13" s="2">
        <v>74.44</v>
      </c>
      <c r="CL13" s="2">
        <v>79.39</v>
      </c>
      <c r="CM13" s="2">
        <v>69.47</v>
      </c>
      <c r="CN13" s="2">
        <v>74.23</v>
      </c>
      <c r="CO13" s="2">
        <v>72.58</v>
      </c>
      <c r="CP13" s="2">
        <v>80.209999999999994</v>
      </c>
      <c r="CQ13" s="2">
        <v>79.5</v>
      </c>
      <c r="CR13" s="2">
        <v>76.31</v>
      </c>
      <c r="CS13" s="2">
        <v>73.37</v>
      </c>
      <c r="CT13" s="2">
        <v>78.97</v>
      </c>
      <c r="CU13" s="2">
        <v>79.239999999999995</v>
      </c>
      <c r="CV13" s="2">
        <v>80.930000000000007</v>
      </c>
      <c r="CW13" s="2">
        <v>80.33</v>
      </c>
      <c r="CX13" s="2">
        <f t="shared" si="0"/>
        <v>76.778699999999986</v>
      </c>
    </row>
    <row r="14" spans="1:102" x14ac:dyDescent="0.2">
      <c r="A14" s="3" t="s">
        <v>131</v>
      </c>
      <c r="B14" s="2">
        <v>78.44</v>
      </c>
      <c r="C14" s="2">
        <v>79.77</v>
      </c>
      <c r="D14" s="2">
        <v>75.989999999999995</v>
      </c>
      <c r="E14" s="2">
        <v>76.069999999999993</v>
      </c>
      <c r="F14" s="2">
        <v>75.91</v>
      </c>
      <c r="G14" s="2">
        <v>75.2</v>
      </c>
      <c r="H14" s="2">
        <v>72.28</v>
      </c>
      <c r="I14" s="2">
        <v>76.239999999999995</v>
      </c>
      <c r="J14" s="2">
        <v>72.459999999999994</v>
      </c>
      <c r="K14" s="2">
        <v>77.84</v>
      </c>
      <c r="L14" s="2">
        <v>73.33</v>
      </c>
      <c r="M14" s="2">
        <v>76.41</v>
      </c>
      <c r="N14" s="2">
        <v>74.73</v>
      </c>
      <c r="O14" s="2">
        <v>73.55</v>
      </c>
      <c r="P14" s="2">
        <v>74.5</v>
      </c>
      <c r="Q14" s="2">
        <v>77.349999999999994</v>
      </c>
      <c r="R14" s="2">
        <v>80.44</v>
      </c>
      <c r="S14" s="2">
        <v>77.900000000000006</v>
      </c>
      <c r="T14" s="2">
        <v>75.58</v>
      </c>
      <c r="U14" s="2">
        <v>76.61</v>
      </c>
      <c r="V14" s="2">
        <v>78.510000000000005</v>
      </c>
      <c r="W14" s="2">
        <v>75.17</v>
      </c>
      <c r="X14" s="2">
        <v>74.2</v>
      </c>
      <c r="Y14" s="2">
        <v>76.97</v>
      </c>
      <c r="Z14" s="2">
        <v>75.87</v>
      </c>
      <c r="AA14" s="2">
        <v>78.89</v>
      </c>
      <c r="AB14" s="2">
        <v>72.790000000000006</v>
      </c>
      <c r="AC14" s="2">
        <v>76.459999999999994</v>
      </c>
      <c r="AD14" s="2">
        <v>65.260000000000005</v>
      </c>
      <c r="AE14" s="2">
        <v>72.62</v>
      </c>
      <c r="AF14" s="2">
        <v>79.84</v>
      </c>
      <c r="AG14" s="2">
        <v>74.239999999999995</v>
      </c>
      <c r="AH14" s="2">
        <v>79.56</v>
      </c>
      <c r="AI14" s="2">
        <v>78.260000000000005</v>
      </c>
      <c r="AJ14" s="2">
        <v>74.06</v>
      </c>
      <c r="AK14" s="2">
        <v>80.47</v>
      </c>
      <c r="AL14" s="2">
        <v>76.69</v>
      </c>
      <c r="AM14" s="2">
        <v>77.900000000000006</v>
      </c>
      <c r="AN14" s="2">
        <v>76.040000000000006</v>
      </c>
      <c r="AO14" s="2">
        <v>74.569999999999993</v>
      </c>
      <c r="AP14" s="2">
        <v>80.25</v>
      </c>
      <c r="AQ14" s="2">
        <v>80.66</v>
      </c>
      <c r="AR14" s="2">
        <v>78.3</v>
      </c>
      <c r="AS14" s="2">
        <v>75.66</v>
      </c>
      <c r="AT14" s="2">
        <v>74.08</v>
      </c>
      <c r="AU14" s="2">
        <v>76.83</v>
      </c>
      <c r="AV14" s="2">
        <v>77.05</v>
      </c>
      <c r="AW14" s="2">
        <v>75.81</v>
      </c>
      <c r="AX14" s="2">
        <v>72.489999999999995</v>
      </c>
      <c r="AY14" s="2">
        <v>69.540000000000006</v>
      </c>
      <c r="AZ14" s="2">
        <v>78.38</v>
      </c>
      <c r="BA14" s="2">
        <v>76.45</v>
      </c>
      <c r="BB14" s="2">
        <v>77.819999999999993</v>
      </c>
      <c r="BC14" s="2">
        <v>71.930000000000007</v>
      </c>
      <c r="BD14" s="2">
        <v>68.45</v>
      </c>
      <c r="BE14" s="2">
        <v>75.680000000000007</v>
      </c>
      <c r="BF14" s="2">
        <v>77.03</v>
      </c>
      <c r="BG14" s="2">
        <v>75.66</v>
      </c>
      <c r="BH14" s="2">
        <v>72.8</v>
      </c>
      <c r="BI14" s="2">
        <v>75.42</v>
      </c>
      <c r="BJ14" s="2">
        <v>77.069999999999993</v>
      </c>
      <c r="BK14" s="2">
        <v>78.37</v>
      </c>
      <c r="BL14" s="2">
        <v>76.48</v>
      </c>
      <c r="BM14" s="2">
        <v>81.45</v>
      </c>
      <c r="BN14" s="2">
        <v>79.760000000000005</v>
      </c>
      <c r="BO14" s="2">
        <v>80.39</v>
      </c>
      <c r="BP14" s="2">
        <v>78.739999999999995</v>
      </c>
      <c r="BQ14" s="2">
        <v>80.349999999999994</v>
      </c>
      <c r="BR14" s="2">
        <v>73.09</v>
      </c>
      <c r="BS14" s="2">
        <v>77.05</v>
      </c>
      <c r="BT14" s="2">
        <v>83.09</v>
      </c>
      <c r="BU14" s="2">
        <v>80.239999999999995</v>
      </c>
      <c r="BV14" s="2">
        <v>77.680000000000007</v>
      </c>
      <c r="BW14" s="2">
        <v>70.180000000000007</v>
      </c>
      <c r="BX14" s="2">
        <v>73.09</v>
      </c>
      <c r="BY14" s="2">
        <v>80.180000000000007</v>
      </c>
      <c r="BZ14" s="2">
        <v>77.319999999999993</v>
      </c>
      <c r="CA14" s="2">
        <v>81.760000000000005</v>
      </c>
      <c r="CB14" s="2">
        <v>67.83</v>
      </c>
      <c r="CC14" s="2">
        <v>80.680000000000007</v>
      </c>
      <c r="CD14" s="2">
        <v>79.53</v>
      </c>
      <c r="CE14" s="2">
        <v>79.709999999999994</v>
      </c>
      <c r="CF14" s="2">
        <v>77.64</v>
      </c>
      <c r="CG14" s="2">
        <v>78.69</v>
      </c>
      <c r="CH14" s="2">
        <v>74.099999999999994</v>
      </c>
      <c r="CI14" s="2">
        <v>79.2</v>
      </c>
      <c r="CJ14" s="2">
        <v>76.739999999999995</v>
      </c>
      <c r="CK14" s="2">
        <v>81.81</v>
      </c>
      <c r="CL14" s="2">
        <v>77.66</v>
      </c>
      <c r="CM14" s="2">
        <v>72.5</v>
      </c>
      <c r="CN14" s="2">
        <v>75.790000000000006</v>
      </c>
      <c r="CO14" s="2">
        <v>75.75</v>
      </c>
      <c r="CP14" s="2">
        <v>78.95</v>
      </c>
      <c r="CQ14" s="2">
        <v>75.709999999999994</v>
      </c>
      <c r="CR14" s="2">
        <v>79.760000000000005</v>
      </c>
      <c r="CS14" s="2">
        <v>75.650000000000006</v>
      </c>
      <c r="CT14" s="2">
        <v>74.64</v>
      </c>
      <c r="CU14" s="2">
        <v>79.81</v>
      </c>
      <c r="CV14" s="2">
        <v>83.03</v>
      </c>
      <c r="CW14" s="2">
        <v>80.52</v>
      </c>
      <c r="CX14" s="2">
        <f t="shared" si="0"/>
        <v>76.612500000000011</v>
      </c>
    </row>
    <row r="15" spans="1:102" x14ac:dyDescent="0.2">
      <c r="A15" s="3" t="s">
        <v>132</v>
      </c>
      <c r="B15" s="2">
        <v>73.3</v>
      </c>
      <c r="C15" s="2">
        <v>80.59</v>
      </c>
      <c r="D15" s="2">
        <v>79.680000000000007</v>
      </c>
      <c r="E15" s="2">
        <v>78.3</v>
      </c>
      <c r="F15" s="2">
        <v>73.58</v>
      </c>
      <c r="G15" s="2">
        <v>79.33</v>
      </c>
      <c r="H15" s="2">
        <v>75.58</v>
      </c>
      <c r="I15" s="2">
        <v>76.77</v>
      </c>
      <c r="J15" s="2">
        <v>80.55</v>
      </c>
      <c r="K15" s="2">
        <v>76.45</v>
      </c>
      <c r="L15" s="2">
        <v>78.239999999999995</v>
      </c>
      <c r="M15" s="2">
        <v>75.55</v>
      </c>
      <c r="N15" s="2">
        <v>69.89</v>
      </c>
      <c r="O15" s="2">
        <v>75.38</v>
      </c>
      <c r="P15" s="2">
        <v>81.790000000000006</v>
      </c>
      <c r="Q15" s="2">
        <v>79.64</v>
      </c>
      <c r="R15" s="2">
        <v>82.18</v>
      </c>
      <c r="S15" s="2">
        <v>82.07</v>
      </c>
      <c r="T15" s="2">
        <v>74.98</v>
      </c>
      <c r="U15" s="2">
        <v>74.239999999999995</v>
      </c>
      <c r="V15" s="2">
        <v>78.95</v>
      </c>
      <c r="W15" s="2">
        <v>74.06</v>
      </c>
      <c r="X15" s="2">
        <v>77.44</v>
      </c>
      <c r="Y15" s="2">
        <v>79.27</v>
      </c>
      <c r="Z15" s="2">
        <v>72.02</v>
      </c>
      <c r="AA15" s="2">
        <v>77.86</v>
      </c>
      <c r="AB15" s="2">
        <v>73.069999999999993</v>
      </c>
      <c r="AC15" s="2">
        <v>80.89</v>
      </c>
      <c r="AD15" s="2">
        <v>71.73</v>
      </c>
      <c r="AE15" s="2">
        <v>75.53</v>
      </c>
      <c r="AF15" s="2">
        <v>84.45</v>
      </c>
      <c r="AG15" s="2">
        <v>72.02</v>
      </c>
      <c r="AH15" s="2">
        <v>74.69</v>
      </c>
      <c r="AI15" s="2">
        <v>76.930000000000007</v>
      </c>
      <c r="AJ15" s="2">
        <v>75.44</v>
      </c>
      <c r="AK15" s="2">
        <v>82.39</v>
      </c>
      <c r="AL15" s="2">
        <v>73.56</v>
      </c>
      <c r="AM15" s="2">
        <v>80.05</v>
      </c>
      <c r="AN15" s="2">
        <v>77.77</v>
      </c>
      <c r="AO15" s="2">
        <v>77.91</v>
      </c>
      <c r="AP15" s="2">
        <v>74.88</v>
      </c>
      <c r="AQ15" s="2">
        <v>75.38</v>
      </c>
      <c r="AR15" s="2">
        <v>76.349999999999994</v>
      </c>
      <c r="AS15" s="2">
        <v>70.239999999999995</v>
      </c>
      <c r="AT15" s="2">
        <v>78.790000000000006</v>
      </c>
      <c r="AU15" s="2">
        <v>81.73</v>
      </c>
      <c r="AV15" s="2">
        <v>69.86</v>
      </c>
      <c r="AW15" s="2">
        <v>76.650000000000006</v>
      </c>
      <c r="AX15" s="2">
        <v>75.760000000000005</v>
      </c>
      <c r="AY15" s="2">
        <v>72.599999999999994</v>
      </c>
      <c r="AZ15" s="2">
        <v>75.52</v>
      </c>
      <c r="BA15" s="2">
        <v>72.040000000000006</v>
      </c>
      <c r="BB15" s="2">
        <v>76.47</v>
      </c>
      <c r="BC15" s="2">
        <v>74.83</v>
      </c>
      <c r="BD15" s="2">
        <v>71.91</v>
      </c>
      <c r="BE15" s="2">
        <v>66.12</v>
      </c>
      <c r="BF15" s="2">
        <v>75.459999999999994</v>
      </c>
      <c r="BG15" s="2">
        <v>77.33</v>
      </c>
      <c r="BH15" s="2">
        <v>77.06</v>
      </c>
      <c r="BI15" s="2">
        <v>81.599999999999994</v>
      </c>
      <c r="BJ15" s="2">
        <v>78.98</v>
      </c>
      <c r="BK15" s="2">
        <v>80.45</v>
      </c>
      <c r="BL15" s="2">
        <v>71.239999999999995</v>
      </c>
      <c r="BM15" s="2">
        <v>84.84</v>
      </c>
      <c r="BN15" s="2">
        <v>79.48</v>
      </c>
      <c r="BO15" s="2">
        <v>81.47</v>
      </c>
      <c r="BP15" s="2">
        <v>79.36</v>
      </c>
      <c r="BQ15" s="2">
        <v>84.24</v>
      </c>
      <c r="BR15" s="2">
        <v>75.11</v>
      </c>
      <c r="BS15" s="2">
        <v>80.33</v>
      </c>
      <c r="BT15" s="2">
        <v>84.64</v>
      </c>
      <c r="BU15" s="2">
        <v>76.13</v>
      </c>
      <c r="BV15" s="2">
        <v>75.510000000000005</v>
      </c>
      <c r="BW15" s="2">
        <v>72.78</v>
      </c>
      <c r="BX15" s="2">
        <v>73.069999999999993</v>
      </c>
      <c r="BY15" s="2">
        <v>79.12</v>
      </c>
      <c r="BZ15" s="2">
        <v>76.430000000000007</v>
      </c>
      <c r="CA15" s="2">
        <v>79.540000000000006</v>
      </c>
      <c r="CB15" s="2">
        <v>70.099999999999994</v>
      </c>
      <c r="CC15" s="2">
        <v>76.03</v>
      </c>
      <c r="CD15" s="2">
        <v>76.819999999999993</v>
      </c>
      <c r="CE15" s="2">
        <v>77.78</v>
      </c>
      <c r="CF15" s="2">
        <v>82.64</v>
      </c>
      <c r="CG15" s="2">
        <v>76.150000000000006</v>
      </c>
      <c r="CH15" s="2">
        <v>74.989999999999995</v>
      </c>
      <c r="CI15" s="2">
        <v>74.48</v>
      </c>
      <c r="CJ15" s="2">
        <v>72.59</v>
      </c>
      <c r="CK15" s="2">
        <v>78.599999999999994</v>
      </c>
      <c r="CL15" s="2">
        <v>76.63</v>
      </c>
      <c r="CM15" s="2">
        <v>68.94</v>
      </c>
      <c r="CN15" s="2">
        <v>81.66</v>
      </c>
      <c r="CO15" s="2">
        <v>74.260000000000005</v>
      </c>
      <c r="CP15" s="2">
        <v>84.25</v>
      </c>
      <c r="CQ15" s="2">
        <v>76.16</v>
      </c>
      <c r="CR15" s="2">
        <v>79.25</v>
      </c>
      <c r="CS15" s="2">
        <v>74.680000000000007</v>
      </c>
      <c r="CT15" s="2">
        <v>74.83</v>
      </c>
      <c r="CU15" s="2">
        <v>80.28</v>
      </c>
      <c r="CV15" s="2">
        <v>84.39</v>
      </c>
      <c r="CW15" s="2">
        <v>79.58</v>
      </c>
      <c r="CX15" s="2">
        <f t="shared" si="0"/>
        <v>76.925099999999986</v>
      </c>
    </row>
    <row r="16" spans="1:102" x14ac:dyDescent="0.2">
      <c r="A16" s="3" t="s">
        <v>133</v>
      </c>
      <c r="B16" s="2">
        <v>75.22</v>
      </c>
      <c r="C16" s="2">
        <v>72.099999999999994</v>
      </c>
      <c r="D16" s="2">
        <v>75.75</v>
      </c>
      <c r="E16" s="2">
        <v>73.400000000000006</v>
      </c>
      <c r="F16" s="2">
        <v>71.52</v>
      </c>
      <c r="G16" s="2">
        <v>78.48</v>
      </c>
      <c r="H16" s="2">
        <v>76.040000000000006</v>
      </c>
      <c r="I16" s="2">
        <v>78.13</v>
      </c>
      <c r="J16" s="2">
        <v>80.319999999999993</v>
      </c>
      <c r="K16" s="2">
        <v>79.44</v>
      </c>
      <c r="L16" s="2">
        <v>76</v>
      </c>
      <c r="M16" s="2">
        <v>73.3</v>
      </c>
      <c r="N16" s="2">
        <v>73.36</v>
      </c>
      <c r="O16" s="2">
        <v>77.680000000000007</v>
      </c>
      <c r="P16" s="2">
        <v>77.540000000000006</v>
      </c>
      <c r="Q16" s="2">
        <v>76.290000000000006</v>
      </c>
      <c r="R16" s="2">
        <v>80.319999999999993</v>
      </c>
      <c r="S16" s="2">
        <v>77.83</v>
      </c>
      <c r="T16" s="2">
        <v>73.290000000000006</v>
      </c>
      <c r="U16" s="2">
        <v>80.06</v>
      </c>
      <c r="V16" s="2">
        <v>81.47</v>
      </c>
      <c r="W16" s="2">
        <v>77.23</v>
      </c>
      <c r="X16" s="2">
        <v>80.72</v>
      </c>
      <c r="Y16" s="2">
        <v>81.95</v>
      </c>
      <c r="Z16" s="2">
        <v>75.11</v>
      </c>
      <c r="AA16" s="2">
        <v>76.45</v>
      </c>
      <c r="AB16" s="2">
        <v>74.69</v>
      </c>
      <c r="AC16" s="2">
        <v>75.239999999999995</v>
      </c>
      <c r="AD16" s="2">
        <v>80.849999999999994</v>
      </c>
      <c r="AE16" s="2">
        <v>77.069999999999993</v>
      </c>
      <c r="AF16" s="2">
        <v>85.34</v>
      </c>
      <c r="AG16" s="2">
        <v>75.459999999999994</v>
      </c>
      <c r="AH16" s="2">
        <v>73.48</v>
      </c>
      <c r="AI16" s="2">
        <v>77.19</v>
      </c>
      <c r="AJ16" s="2">
        <v>78.97</v>
      </c>
      <c r="AK16" s="2">
        <v>83.05</v>
      </c>
      <c r="AL16" s="2">
        <v>80.2</v>
      </c>
      <c r="AM16" s="2">
        <v>77.42</v>
      </c>
      <c r="AN16" s="2">
        <v>79.63</v>
      </c>
      <c r="AO16" s="2">
        <v>78.77</v>
      </c>
      <c r="AP16" s="2">
        <v>72.37</v>
      </c>
      <c r="AQ16" s="2">
        <v>75.790000000000006</v>
      </c>
      <c r="AR16" s="2">
        <v>77.13</v>
      </c>
      <c r="AS16" s="2">
        <v>70.84</v>
      </c>
      <c r="AT16" s="2">
        <v>74.739999999999995</v>
      </c>
      <c r="AU16" s="2">
        <v>80.45</v>
      </c>
      <c r="AV16" s="2">
        <v>78.92</v>
      </c>
      <c r="AW16" s="2">
        <v>79.09</v>
      </c>
      <c r="AX16" s="2">
        <v>75.12</v>
      </c>
      <c r="AY16" s="2">
        <v>78</v>
      </c>
      <c r="AZ16" s="2">
        <v>73.569999999999993</v>
      </c>
      <c r="BA16" s="2">
        <v>70.849999999999994</v>
      </c>
      <c r="BB16" s="2">
        <v>78.94</v>
      </c>
      <c r="BC16" s="2">
        <v>72.73</v>
      </c>
      <c r="BD16" s="2">
        <v>68.81</v>
      </c>
      <c r="BE16" s="2">
        <v>66.709999999999994</v>
      </c>
      <c r="BF16" s="2">
        <v>80.680000000000007</v>
      </c>
      <c r="BG16" s="2">
        <v>78.56</v>
      </c>
      <c r="BH16" s="2">
        <v>77.84</v>
      </c>
      <c r="BI16" s="2">
        <v>80.88</v>
      </c>
      <c r="BJ16" s="2">
        <v>76.760000000000005</v>
      </c>
      <c r="BK16" s="2">
        <v>82.23</v>
      </c>
      <c r="BL16" s="2">
        <v>71.37</v>
      </c>
      <c r="BM16" s="2">
        <v>82.82</v>
      </c>
      <c r="BN16" s="2">
        <v>76.650000000000006</v>
      </c>
      <c r="BO16" s="2">
        <v>76.209999999999994</v>
      </c>
      <c r="BP16" s="2">
        <v>79.78</v>
      </c>
      <c r="BQ16" s="2">
        <v>80.849999999999994</v>
      </c>
      <c r="BR16" s="2">
        <v>76.58</v>
      </c>
      <c r="BS16" s="2">
        <v>78.040000000000006</v>
      </c>
      <c r="BT16" s="2">
        <v>79.34</v>
      </c>
      <c r="BU16" s="2">
        <v>78.739999999999995</v>
      </c>
      <c r="BV16" s="2">
        <v>76.150000000000006</v>
      </c>
      <c r="BW16" s="2">
        <v>73.88</v>
      </c>
      <c r="BX16" s="2">
        <v>72.52</v>
      </c>
      <c r="BY16" s="2">
        <v>80.03</v>
      </c>
      <c r="BZ16" s="2">
        <v>79.89</v>
      </c>
      <c r="CA16" s="2">
        <v>83.97</v>
      </c>
      <c r="CB16" s="2">
        <v>76.05</v>
      </c>
      <c r="CC16" s="2">
        <v>78.06</v>
      </c>
      <c r="CD16" s="2">
        <v>73.150000000000006</v>
      </c>
      <c r="CE16" s="2">
        <v>70.930000000000007</v>
      </c>
      <c r="CF16" s="2">
        <v>78.13</v>
      </c>
      <c r="CG16" s="2">
        <v>79.3</v>
      </c>
      <c r="CH16" s="2">
        <v>71.790000000000006</v>
      </c>
      <c r="CI16" s="2">
        <v>76.11</v>
      </c>
      <c r="CJ16" s="2">
        <v>72.47</v>
      </c>
      <c r="CK16" s="2">
        <v>79.73</v>
      </c>
      <c r="CL16" s="2">
        <v>78.17</v>
      </c>
      <c r="CM16" s="2">
        <v>75.69</v>
      </c>
      <c r="CN16" s="2">
        <v>80.38</v>
      </c>
      <c r="CO16" s="2">
        <v>74.3</v>
      </c>
      <c r="CP16" s="2">
        <v>78.22</v>
      </c>
      <c r="CQ16" s="2">
        <v>79.260000000000005</v>
      </c>
      <c r="CR16" s="2">
        <v>75.88</v>
      </c>
      <c r="CS16" s="2">
        <v>72.19</v>
      </c>
      <c r="CT16" s="2">
        <v>73.81</v>
      </c>
      <c r="CU16" s="2">
        <v>81.84</v>
      </c>
      <c r="CV16" s="2">
        <v>82.39</v>
      </c>
      <c r="CW16" s="2">
        <v>77.11</v>
      </c>
      <c r="CX16" s="2">
        <f t="shared" si="0"/>
        <v>76.991500000000016</v>
      </c>
    </row>
    <row r="17" spans="1:102" x14ac:dyDescent="0.2">
      <c r="A17" s="3" t="s">
        <v>134</v>
      </c>
      <c r="B17" s="2">
        <v>81.22</v>
      </c>
      <c r="C17" s="2">
        <v>78.94</v>
      </c>
      <c r="D17" s="2">
        <v>76.28</v>
      </c>
      <c r="E17" s="2">
        <v>73.8</v>
      </c>
      <c r="F17" s="2">
        <v>74.56</v>
      </c>
      <c r="G17" s="2">
        <v>82.36</v>
      </c>
      <c r="H17" s="2">
        <v>75.739999999999995</v>
      </c>
      <c r="I17" s="2">
        <v>80.09</v>
      </c>
      <c r="J17" s="2">
        <v>78.14</v>
      </c>
      <c r="K17" s="2">
        <v>79.31</v>
      </c>
      <c r="L17" s="2">
        <v>77.599999999999994</v>
      </c>
      <c r="M17" s="2">
        <v>76.540000000000006</v>
      </c>
      <c r="N17" s="2">
        <v>75.28</v>
      </c>
      <c r="O17" s="2">
        <v>78.14</v>
      </c>
      <c r="P17" s="2">
        <v>70.849999999999994</v>
      </c>
      <c r="Q17" s="2">
        <v>81.47</v>
      </c>
      <c r="R17" s="2">
        <v>84.22</v>
      </c>
      <c r="S17" s="2">
        <v>73.56</v>
      </c>
      <c r="T17" s="2">
        <v>76.06</v>
      </c>
      <c r="U17" s="2">
        <v>79.66</v>
      </c>
      <c r="V17" s="2">
        <v>72.39</v>
      </c>
      <c r="W17" s="2">
        <v>76.5</v>
      </c>
      <c r="X17" s="2">
        <v>76.510000000000005</v>
      </c>
      <c r="Y17" s="2">
        <v>80.08</v>
      </c>
      <c r="Z17" s="2">
        <v>75.209999999999994</v>
      </c>
      <c r="AA17" s="2">
        <v>75.069999999999993</v>
      </c>
      <c r="AB17" s="2">
        <v>73.62</v>
      </c>
      <c r="AC17" s="2">
        <v>76.66</v>
      </c>
      <c r="AD17" s="2">
        <v>76.599999999999994</v>
      </c>
      <c r="AE17" s="2">
        <v>77.260000000000005</v>
      </c>
      <c r="AF17" s="2">
        <v>80.900000000000006</v>
      </c>
      <c r="AG17" s="2">
        <v>77.97</v>
      </c>
      <c r="AH17" s="2">
        <v>75.040000000000006</v>
      </c>
      <c r="AI17" s="2">
        <v>71.73</v>
      </c>
      <c r="AJ17" s="2">
        <v>75.39</v>
      </c>
      <c r="AK17" s="2">
        <v>82.61</v>
      </c>
      <c r="AL17" s="2">
        <v>78.56</v>
      </c>
      <c r="AM17" s="2">
        <v>77.47</v>
      </c>
      <c r="AN17" s="2">
        <v>77.16</v>
      </c>
      <c r="AO17" s="2">
        <v>79.92</v>
      </c>
      <c r="AP17" s="2">
        <v>76.930000000000007</v>
      </c>
      <c r="AQ17" s="2">
        <v>75.5</v>
      </c>
      <c r="AR17" s="2">
        <v>75.81</v>
      </c>
      <c r="AS17" s="2">
        <v>73.91</v>
      </c>
      <c r="AT17" s="2">
        <v>75.709999999999994</v>
      </c>
      <c r="AU17" s="2">
        <v>80.66</v>
      </c>
      <c r="AV17" s="2">
        <v>82.72</v>
      </c>
      <c r="AW17" s="2">
        <v>75.94</v>
      </c>
      <c r="AX17" s="2">
        <v>73.900000000000006</v>
      </c>
      <c r="AY17" s="2">
        <v>82.91</v>
      </c>
      <c r="AZ17" s="2">
        <v>79.3</v>
      </c>
      <c r="BA17" s="2">
        <v>70.989999999999995</v>
      </c>
      <c r="BB17" s="2">
        <v>75.94</v>
      </c>
      <c r="BC17" s="2">
        <v>75.510000000000005</v>
      </c>
      <c r="BD17" s="2">
        <v>73.7</v>
      </c>
      <c r="BE17" s="2">
        <v>66.98</v>
      </c>
      <c r="BF17" s="2">
        <v>79.27</v>
      </c>
      <c r="BG17" s="2">
        <v>78.47</v>
      </c>
      <c r="BH17" s="2">
        <v>82.15</v>
      </c>
      <c r="BI17" s="2">
        <v>80.78</v>
      </c>
      <c r="BJ17" s="2">
        <v>76.81</v>
      </c>
      <c r="BK17" s="2">
        <v>77.900000000000006</v>
      </c>
      <c r="BL17" s="2">
        <v>71.430000000000007</v>
      </c>
      <c r="BM17" s="2">
        <v>79.2</v>
      </c>
      <c r="BN17" s="2">
        <v>75.02</v>
      </c>
      <c r="BO17" s="2">
        <v>76.989999999999995</v>
      </c>
      <c r="BP17" s="2">
        <v>82.89</v>
      </c>
      <c r="BQ17" s="2">
        <v>77.7</v>
      </c>
      <c r="BR17" s="2">
        <v>74.03</v>
      </c>
      <c r="BS17" s="2">
        <v>76.739999999999995</v>
      </c>
      <c r="BT17" s="2">
        <v>82.12</v>
      </c>
      <c r="BU17" s="2">
        <v>79.09</v>
      </c>
      <c r="BV17" s="2">
        <v>77.099999999999994</v>
      </c>
      <c r="BW17" s="2">
        <v>75.5</v>
      </c>
      <c r="BX17" s="2">
        <v>71.63</v>
      </c>
      <c r="BY17" s="2">
        <v>80.91</v>
      </c>
      <c r="BZ17" s="2">
        <v>81.459999999999994</v>
      </c>
      <c r="CA17" s="2">
        <v>74.28</v>
      </c>
      <c r="CB17" s="2">
        <v>75.040000000000006</v>
      </c>
      <c r="CC17" s="2">
        <v>71.23</v>
      </c>
      <c r="CD17" s="2">
        <v>73.150000000000006</v>
      </c>
      <c r="CE17" s="2">
        <v>72.83</v>
      </c>
      <c r="CF17" s="2">
        <v>72.569999999999993</v>
      </c>
      <c r="CG17" s="2">
        <v>85.52</v>
      </c>
      <c r="CH17" s="2">
        <v>73.27</v>
      </c>
      <c r="CI17" s="2">
        <v>74.959999999999994</v>
      </c>
      <c r="CJ17" s="2">
        <v>74.209999999999994</v>
      </c>
      <c r="CK17" s="2">
        <v>76.66</v>
      </c>
      <c r="CL17" s="2">
        <v>74.58</v>
      </c>
      <c r="CM17" s="2">
        <v>77.569999999999993</v>
      </c>
      <c r="CN17" s="2">
        <v>80.38</v>
      </c>
      <c r="CO17" s="2">
        <v>72.94</v>
      </c>
      <c r="CP17" s="2">
        <v>79.19</v>
      </c>
      <c r="CQ17" s="2">
        <v>79.58</v>
      </c>
      <c r="CR17" s="2">
        <v>68.23</v>
      </c>
      <c r="CS17" s="2">
        <v>76.33</v>
      </c>
      <c r="CT17" s="2">
        <v>76.510000000000005</v>
      </c>
      <c r="CU17" s="2">
        <v>84.43</v>
      </c>
      <c r="CV17" s="2">
        <v>79.959999999999994</v>
      </c>
      <c r="CW17" s="2">
        <v>77.73</v>
      </c>
      <c r="CX17" s="2">
        <f t="shared" si="0"/>
        <v>76.952199999999962</v>
      </c>
    </row>
    <row r="18" spans="1:102" x14ac:dyDescent="0.2">
      <c r="A18" s="3" t="s">
        <v>135</v>
      </c>
      <c r="B18" s="2">
        <v>77.77</v>
      </c>
      <c r="C18" s="2">
        <v>74.08</v>
      </c>
      <c r="D18" s="2">
        <v>78.97</v>
      </c>
      <c r="E18" s="2">
        <v>79.44</v>
      </c>
      <c r="F18" s="2">
        <v>79.5</v>
      </c>
      <c r="G18" s="2">
        <v>82.28</v>
      </c>
      <c r="H18" s="2">
        <v>80.95</v>
      </c>
      <c r="I18" s="2">
        <v>79.7</v>
      </c>
      <c r="J18" s="2">
        <v>75.489999999999995</v>
      </c>
      <c r="K18" s="2">
        <v>81.58</v>
      </c>
      <c r="L18" s="2">
        <v>69.05</v>
      </c>
      <c r="M18" s="2">
        <v>75.28</v>
      </c>
      <c r="N18" s="2">
        <v>74.58</v>
      </c>
      <c r="O18" s="2">
        <v>75.5</v>
      </c>
      <c r="P18" s="2">
        <v>69.930000000000007</v>
      </c>
      <c r="Q18" s="2">
        <v>78.45</v>
      </c>
      <c r="R18" s="2">
        <v>82.56</v>
      </c>
      <c r="S18" s="2">
        <v>76.36</v>
      </c>
      <c r="T18" s="2">
        <v>79.02</v>
      </c>
      <c r="U18" s="2">
        <v>79.5</v>
      </c>
      <c r="V18" s="2">
        <v>75.22</v>
      </c>
      <c r="W18" s="2">
        <v>81.3</v>
      </c>
      <c r="X18" s="2">
        <v>83.9</v>
      </c>
      <c r="Y18" s="2">
        <v>77.92</v>
      </c>
      <c r="Z18" s="2">
        <v>76.459999999999994</v>
      </c>
      <c r="AA18" s="2">
        <v>77.83</v>
      </c>
      <c r="AB18" s="2">
        <v>79.67</v>
      </c>
      <c r="AC18" s="2">
        <v>78.03</v>
      </c>
      <c r="AD18" s="2">
        <v>76.98</v>
      </c>
      <c r="AE18" s="2">
        <v>73.14</v>
      </c>
      <c r="AF18" s="2">
        <v>76.17</v>
      </c>
      <c r="AG18" s="2">
        <v>80.400000000000006</v>
      </c>
      <c r="AH18" s="2">
        <v>79.3</v>
      </c>
      <c r="AI18" s="2">
        <v>76.760000000000005</v>
      </c>
      <c r="AJ18" s="2">
        <v>76.3</v>
      </c>
      <c r="AK18" s="2">
        <v>78.92</v>
      </c>
      <c r="AL18" s="2">
        <v>80.7</v>
      </c>
      <c r="AM18" s="2">
        <v>76.45</v>
      </c>
      <c r="AN18" s="2">
        <v>77.400000000000006</v>
      </c>
      <c r="AO18" s="2">
        <v>80.900000000000006</v>
      </c>
      <c r="AP18" s="2">
        <v>73.11</v>
      </c>
      <c r="AQ18" s="2">
        <v>80.260000000000005</v>
      </c>
      <c r="AR18" s="2">
        <v>77.28</v>
      </c>
      <c r="AS18" s="2">
        <v>78.569999999999993</v>
      </c>
      <c r="AT18" s="2">
        <v>70.7</v>
      </c>
      <c r="AU18" s="2">
        <v>76.37</v>
      </c>
      <c r="AV18" s="2">
        <v>82.78</v>
      </c>
      <c r="AW18" s="2">
        <v>76.75</v>
      </c>
      <c r="AX18" s="2">
        <v>76.25</v>
      </c>
      <c r="AY18" s="2">
        <v>81.14</v>
      </c>
      <c r="AZ18" s="2">
        <v>79.52</v>
      </c>
      <c r="BA18" s="2">
        <v>73.819999999999993</v>
      </c>
      <c r="BB18" s="2">
        <v>79.260000000000005</v>
      </c>
      <c r="BC18" s="2">
        <v>74.69</v>
      </c>
      <c r="BD18" s="2">
        <v>77.900000000000006</v>
      </c>
      <c r="BE18" s="2">
        <v>75.02</v>
      </c>
      <c r="BF18" s="2">
        <v>83.03</v>
      </c>
      <c r="BG18" s="2">
        <v>77.16</v>
      </c>
      <c r="BH18" s="2">
        <v>81.86</v>
      </c>
      <c r="BI18" s="2">
        <v>80.239999999999995</v>
      </c>
      <c r="BJ18" s="2">
        <v>74.37</v>
      </c>
      <c r="BK18" s="2">
        <v>78.459999999999994</v>
      </c>
      <c r="BL18" s="2">
        <v>75.5</v>
      </c>
      <c r="BM18" s="2">
        <v>78.81</v>
      </c>
      <c r="BN18" s="2">
        <v>76.55</v>
      </c>
      <c r="BO18" s="2">
        <v>76.12</v>
      </c>
      <c r="BP18" s="2">
        <v>78.819999999999993</v>
      </c>
      <c r="BQ18" s="2">
        <v>64.67</v>
      </c>
      <c r="BR18" s="2">
        <v>70.959999999999994</v>
      </c>
      <c r="BS18" s="2">
        <v>72.22</v>
      </c>
      <c r="BT18" s="2">
        <v>83.09</v>
      </c>
      <c r="BU18" s="2">
        <v>75.930000000000007</v>
      </c>
      <c r="BV18" s="2">
        <v>75.39</v>
      </c>
      <c r="BW18" s="2">
        <v>78.56</v>
      </c>
      <c r="BX18" s="2">
        <v>76.39</v>
      </c>
      <c r="BY18" s="2">
        <v>77.31</v>
      </c>
      <c r="BZ18" s="2">
        <v>78.16</v>
      </c>
      <c r="CA18" s="2">
        <v>75.75</v>
      </c>
      <c r="CB18" s="2">
        <v>75.150000000000006</v>
      </c>
      <c r="CC18" s="2">
        <v>74.58</v>
      </c>
      <c r="CD18" s="2">
        <v>76.209999999999994</v>
      </c>
      <c r="CE18" s="2">
        <v>74.739999999999995</v>
      </c>
      <c r="CF18" s="2">
        <v>72.25</v>
      </c>
      <c r="CG18" s="2">
        <v>74.599999999999994</v>
      </c>
      <c r="CH18" s="2">
        <v>72.98</v>
      </c>
      <c r="CI18" s="2">
        <v>76.069999999999993</v>
      </c>
      <c r="CJ18" s="2">
        <v>80.17</v>
      </c>
      <c r="CK18" s="2">
        <v>77.33</v>
      </c>
      <c r="CL18" s="2">
        <v>78.06</v>
      </c>
      <c r="CM18" s="2">
        <v>77.12</v>
      </c>
      <c r="CN18" s="2">
        <v>83.7</v>
      </c>
      <c r="CO18" s="2">
        <v>75.42</v>
      </c>
      <c r="CP18" s="2">
        <v>80.02</v>
      </c>
      <c r="CQ18" s="2">
        <v>73.56</v>
      </c>
      <c r="CR18" s="2">
        <v>75.23</v>
      </c>
      <c r="CS18" s="2">
        <v>78.59</v>
      </c>
      <c r="CT18" s="2">
        <v>75.77</v>
      </c>
      <c r="CU18" s="2">
        <v>85.64</v>
      </c>
      <c r="CV18" s="2">
        <v>74.89</v>
      </c>
      <c r="CW18" s="2">
        <v>79.36</v>
      </c>
      <c r="CX18" s="2">
        <f t="shared" si="0"/>
        <v>77.279500000000027</v>
      </c>
    </row>
    <row r="19" spans="1:102" x14ac:dyDescent="0.2">
      <c r="A19" s="3" t="s">
        <v>136</v>
      </c>
      <c r="B19" s="2">
        <v>84.11</v>
      </c>
      <c r="C19" s="2">
        <v>71.739999999999995</v>
      </c>
      <c r="D19" s="2">
        <v>77.25</v>
      </c>
      <c r="E19" s="2">
        <v>77.290000000000006</v>
      </c>
      <c r="F19" s="2">
        <v>74.47</v>
      </c>
      <c r="G19" s="2">
        <v>81.75</v>
      </c>
      <c r="H19" s="2">
        <v>81.37</v>
      </c>
      <c r="I19" s="2">
        <v>81.61</v>
      </c>
      <c r="J19" s="2">
        <v>76.39</v>
      </c>
      <c r="K19" s="2">
        <v>77.790000000000006</v>
      </c>
      <c r="L19" s="2">
        <v>70.02</v>
      </c>
      <c r="M19" s="2">
        <v>78.13</v>
      </c>
      <c r="N19" s="2">
        <v>75.02</v>
      </c>
      <c r="O19" s="2">
        <v>75.349999999999994</v>
      </c>
      <c r="P19" s="2">
        <v>79.02</v>
      </c>
      <c r="Q19" s="2">
        <v>72.010000000000005</v>
      </c>
      <c r="R19" s="2">
        <v>82.05</v>
      </c>
      <c r="S19" s="2">
        <v>74.88</v>
      </c>
      <c r="T19" s="2">
        <v>73.27</v>
      </c>
      <c r="U19" s="2">
        <v>78.36</v>
      </c>
      <c r="V19" s="2">
        <v>73.48</v>
      </c>
      <c r="W19" s="2">
        <v>79.11</v>
      </c>
      <c r="X19" s="2">
        <v>78.59</v>
      </c>
      <c r="Y19" s="2">
        <v>79.2</v>
      </c>
      <c r="Z19" s="2">
        <v>75.510000000000005</v>
      </c>
      <c r="AA19" s="2">
        <v>77.97</v>
      </c>
      <c r="AB19" s="2">
        <v>76.63</v>
      </c>
      <c r="AC19" s="2">
        <v>78.599999999999994</v>
      </c>
      <c r="AD19" s="2">
        <v>78.83</v>
      </c>
      <c r="AE19" s="2">
        <v>75.05</v>
      </c>
      <c r="AF19" s="2">
        <v>78.930000000000007</v>
      </c>
      <c r="AG19" s="2">
        <v>81.650000000000006</v>
      </c>
      <c r="AH19" s="2">
        <v>77.16</v>
      </c>
      <c r="AI19" s="2">
        <v>76.22</v>
      </c>
      <c r="AJ19" s="2">
        <v>74.930000000000007</v>
      </c>
      <c r="AK19" s="2">
        <v>82.5</v>
      </c>
      <c r="AL19" s="2">
        <v>76.599999999999994</v>
      </c>
      <c r="AM19" s="2">
        <v>78.56</v>
      </c>
      <c r="AN19" s="2">
        <v>72.25</v>
      </c>
      <c r="AO19" s="2">
        <v>80.77</v>
      </c>
      <c r="AP19" s="2">
        <v>73.48</v>
      </c>
      <c r="AQ19" s="2">
        <v>77.28</v>
      </c>
      <c r="AR19" s="2">
        <v>77.86</v>
      </c>
      <c r="AS19" s="2">
        <v>73.069999999999993</v>
      </c>
      <c r="AT19" s="2">
        <v>74.849999999999994</v>
      </c>
      <c r="AU19" s="2">
        <v>74.2</v>
      </c>
      <c r="AV19" s="2">
        <v>81.83</v>
      </c>
      <c r="AW19" s="2">
        <v>80.040000000000006</v>
      </c>
      <c r="AX19" s="2">
        <v>78.13</v>
      </c>
      <c r="AY19" s="2">
        <v>81.31</v>
      </c>
      <c r="AZ19" s="2">
        <v>83</v>
      </c>
      <c r="BA19" s="2">
        <v>79.94</v>
      </c>
      <c r="BB19" s="2">
        <v>77.78</v>
      </c>
      <c r="BC19" s="2">
        <v>74.33</v>
      </c>
      <c r="BD19" s="2">
        <v>74.790000000000006</v>
      </c>
      <c r="BE19" s="2">
        <v>79.94</v>
      </c>
      <c r="BF19" s="2">
        <v>80.150000000000006</v>
      </c>
      <c r="BG19" s="2">
        <v>78.36</v>
      </c>
      <c r="BH19" s="2">
        <v>81.98</v>
      </c>
      <c r="BI19" s="2">
        <v>79.400000000000006</v>
      </c>
      <c r="BJ19" s="2">
        <v>78.64</v>
      </c>
      <c r="BK19" s="2">
        <v>75.099999999999994</v>
      </c>
      <c r="BL19" s="2">
        <v>73.95</v>
      </c>
      <c r="BM19" s="2">
        <v>78.599999999999994</v>
      </c>
      <c r="BN19" s="2">
        <v>81.11</v>
      </c>
      <c r="BO19" s="2">
        <v>81.96</v>
      </c>
      <c r="BP19" s="2">
        <v>82</v>
      </c>
      <c r="BQ19" s="2">
        <v>74.7</v>
      </c>
      <c r="BR19" s="2">
        <v>70</v>
      </c>
      <c r="BS19" s="2">
        <v>72.319999999999993</v>
      </c>
      <c r="BT19" s="2">
        <v>76.34</v>
      </c>
      <c r="BU19" s="2">
        <v>78.349999999999994</v>
      </c>
      <c r="BV19" s="2">
        <v>73.849999999999994</v>
      </c>
      <c r="BW19" s="2">
        <v>75.98</v>
      </c>
      <c r="BX19" s="2">
        <v>72.430000000000007</v>
      </c>
      <c r="BY19" s="2">
        <v>74.52</v>
      </c>
      <c r="BZ19" s="2">
        <v>81.39</v>
      </c>
      <c r="CA19" s="2">
        <v>76.37</v>
      </c>
      <c r="CB19" s="2">
        <v>76.52</v>
      </c>
      <c r="CC19" s="2">
        <v>74.709999999999994</v>
      </c>
      <c r="CD19" s="2">
        <v>77.319999999999993</v>
      </c>
      <c r="CE19" s="2">
        <v>72.86</v>
      </c>
      <c r="CF19" s="2">
        <v>70.02</v>
      </c>
      <c r="CG19" s="2">
        <v>80.260000000000005</v>
      </c>
      <c r="CH19" s="2">
        <v>72.89</v>
      </c>
      <c r="CI19" s="2">
        <v>72.66</v>
      </c>
      <c r="CJ19" s="2">
        <v>76.39</v>
      </c>
      <c r="CK19" s="2">
        <v>77.7</v>
      </c>
      <c r="CL19" s="2">
        <v>79.7</v>
      </c>
      <c r="CM19" s="2">
        <v>77.56</v>
      </c>
      <c r="CN19" s="2">
        <v>85.87</v>
      </c>
      <c r="CO19" s="2">
        <v>81.53</v>
      </c>
      <c r="CP19" s="2">
        <v>77.73</v>
      </c>
      <c r="CQ19" s="2">
        <v>80.680000000000007</v>
      </c>
      <c r="CR19" s="2">
        <v>79.87</v>
      </c>
      <c r="CS19" s="2">
        <v>80.209999999999994</v>
      </c>
      <c r="CT19" s="2">
        <v>68.72</v>
      </c>
      <c r="CU19" s="2">
        <v>84.08</v>
      </c>
      <c r="CV19" s="2">
        <v>71.5</v>
      </c>
      <c r="CW19" s="2">
        <v>76.53</v>
      </c>
      <c r="CX19" s="2">
        <f t="shared" si="0"/>
        <v>77.290599999999998</v>
      </c>
    </row>
    <row r="20" spans="1:102" x14ac:dyDescent="0.2">
      <c r="A20" s="3" t="s">
        <v>137</v>
      </c>
      <c r="B20" s="2">
        <v>81.63</v>
      </c>
      <c r="C20" s="2">
        <v>78.900000000000006</v>
      </c>
      <c r="D20" s="2">
        <v>73.239999999999995</v>
      </c>
      <c r="E20" s="2">
        <v>81.66</v>
      </c>
      <c r="F20" s="2">
        <v>75.760000000000005</v>
      </c>
      <c r="G20" s="2">
        <v>81.86</v>
      </c>
      <c r="H20" s="2">
        <v>81.33</v>
      </c>
      <c r="I20" s="2">
        <v>80.31</v>
      </c>
      <c r="J20" s="2">
        <v>77.16</v>
      </c>
      <c r="K20" s="2">
        <v>81.36</v>
      </c>
      <c r="L20" s="2">
        <v>73.099999999999994</v>
      </c>
      <c r="M20" s="2">
        <v>74.22</v>
      </c>
      <c r="N20" s="2">
        <v>73.3</v>
      </c>
      <c r="O20" s="2">
        <v>77.36</v>
      </c>
      <c r="P20" s="2">
        <v>75.81</v>
      </c>
      <c r="Q20" s="2">
        <v>71.819999999999993</v>
      </c>
      <c r="R20" s="2">
        <v>78.41</v>
      </c>
      <c r="S20" s="2">
        <v>76.19</v>
      </c>
      <c r="T20" s="2">
        <v>80.42</v>
      </c>
      <c r="U20" s="2">
        <v>74.58</v>
      </c>
      <c r="V20" s="2">
        <v>75.44</v>
      </c>
      <c r="W20" s="2">
        <v>77.16</v>
      </c>
      <c r="X20" s="2">
        <v>81.489999999999995</v>
      </c>
      <c r="Y20" s="2">
        <v>78.41</v>
      </c>
      <c r="Z20" s="2">
        <v>77.52</v>
      </c>
      <c r="AA20" s="2">
        <v>73.22</v>
      </c>
      <c r="AB20" s="2">
        <v>75.599999999999994</v>
      </c>
      <c r="AC20" s="2">
        <v>80.069999999999993</v>
      </c>
      <c r="AD20" s="2">
        <v>75.88</v>
      </c>
      <c r="AE20" s="2">
        <v>76.510000000000005</v>
      </c>
      <c r="AF20" s="2">
        <v>83.23</v>
      </c>
      <c r="AG20" s="2">
        <v>80.150000000000006</v>
      </c>
      <c r="AH20" s="2">
        <v>78.31</v>
      </c>
      <c r="AI20" s="2">
        <v>74.63</v>
      </c>
      <c r="AJ20" s="2">
        <v>72.17</v>
      </c>
      <c r="AK20" s="2">
        <v>79.510000000000005</v>
      </c>
      <c r="AL20" s="2">
        <v>77.36</v>
      </c>
      <c r="AM20" s="2">
        <v>80.16</v>
      </c>
      <c r="AN20" s="2">
        <v>72.849999999999994</v>
      </c>
      <c r="AO20" s="2">
        <v>72.37</v>
      </c>
      <c r="AP20" s="2">
        <v>72.709999999999994</v>
      </c>
      <c r="AQ20" s="2">
        <v>79.819999999999993</v>
      </c>
      <c r="AR20" s="2">
        <v>76.069999999999993</v>
      </c>
      <c r="AS20" s="2">
        <v>72.37</v>
      </c>
      <c r="AT20" s="2">
        <v>75.77</v>
      </c>
      <c r="AU20" s="2">
        <v>73.84</v>
      </c>
      <c r="AV20" s="2">
        <v>78.099999999999994</v>
      </c>
      <c r="AW20" s="2">
        <v>79.64</v>
      </c>
      <c r="AX20" s="2">
        <v>75.819999999999993</v>
      </c>
      <c r="AY20" s="2">
        <v>79.44</v>
      </c>
      <c r="AZ20" s="2">
        <v>81.98</v>
      </c>
      <c r="BA20" s="2">
        <v>73.709999999999994</v>
      </c>
      <c r="BB20" s="2">
        <v>77.510000000000005</v>
      </c>
      <c r="BC20" s="2">
        <v>75.7</v>
      </c>
      <c r="BD20" s="2">
        <v>79.69</v>
      </c>
      <c r="BE20" s="2">
        <v>75.72</v>
      </c>
      <c r="BF20" s="2">
        <v>82.88</v>
      </c>
      <c r="BG20" s="2">
        <v>82.19</v>
      </c>
      <c r="BH20" s="2">
        <v>77.959999999999994</v>
      </c>
      <c r="BI20" s="2">
        <v>79.19</v>
      </c>
      <c r="BJ20" s="2">
        <v>76.3</v>
      </c>
      <c r="BK20" s="2">
        <v>71.260000000000005</v>
      </c>
      <c r="BL20" s="2">
        <v>78.989999999999995</v>
      </c>
      <c r="BM20" s="2">
        <v>73.27</v>
      </c>
      <c r="BN20" s="2">
        <v>79.290000000000006</v>
      </c>
      <c r="BO20" s="2">
        <v>84</v>
      </c>
      <c r="BP20" s="2">
        <v>78.42</v>
      </c>
      <c r="BQ20" s="2">
        <v>75.010000000000005</v>
      </c>
      <c r="BR20" s="2">
        <v>71.8</v>
      </c>
      <c r="BS20" s="2">
        <v>73.239999999999995</v>
      </c>
      <c r="BT20" s="2">
        <v>77.760000000000005</v>
      </c>
      <c r="BU20" s="2">
        <v>78.98</v>
      </c>
      <c r="BV20" s="2">
        <v>75.86</v>
      </c>
      <c r="BW20" s="2">
        <v>75.66</v>
      </c>
      <c r="BX20" s="2">
        <v>77.62</v>
      </c>
      <c r="BY20" s="2">
        <v>75.650000000000006</v>
      </c>
      <c r="BZ20" s="2">
        <v>78.88</v>
      </c>
      <c r="CA20" s="2">
        <v>75.150000000000006</v>
      </c>
      <c r="CB20" s="2">
        <v>78.11</v>
      </c>
      <c r="CC20" s="2">
        <v>75.209999999999994</v>
      </c>
      <c r="CD20" s="2">
        <v>78.61</v>
      </c>
      <c r="CE20" s="2">
        <v>72.62</v>
      </c>
      <c r="CF20" s="2">
        <v>77.989999999999995</v>
      </c>
      <c r="CG20" s="2">
        <v>79.930000000000007</v>
      </c>
      <c r="CH20" s="2">
        <v>76.010000000000005</v>
      </c>
      <c r="CI20" s="2">
        <v>74.430000000000007</v>
      </c>
      <c r="CJ20" s="2">
        <v>75.680000000000007</v>
      </c>
      <c r="CK20" s="2">
        <v>75.53</v>
      </c>
      <c r="CL20" s="2">
        <v>75.59</v>
      </c>
      <c r="CM20" s="2">
        <v>71.61</v>
      </c>
      <c r="CN20" s="2">
        <v>78.81</v>
      </c>
      <c r="CO20" s="2">
        <v>81.53</v>
      </c>
      <c r="CP20" s="2">
        <v>73.97</v>
      </c>
      <c r="CQ20" s="2">
        <v>77.22</v>
      </c>
      <c r="CR20" s="2">
        <v>76.73</v>
      </c>
      <c r="CS20" s="2">
        <v>80.5</v>
      </c>
      <c r="CT20" s="2">
        <v>75.819999999999993</v>
      </c>
      <c r="CU20" s="2">
        <v>77.89</v>
      </c>
      <c r="CV20" s="2">
        <v>71.540000000000006</v>
      </c>
      <c r="CW20" s="2">
        <v>77.09</v>
      </c>
      <c r="CX20" s="2">
        <f t="shared" si="0"/>
        <v>77.001300000000001</v>
      </c>
    </row>
    <row r="21" spans="1:102" x14ac:dyDescent="0.2">
      <c r="A21" s="3" t="s">
        <v>138</v>
      </c>
      <c r="B21" s="2">
        <v>80.819999999999993</v>
      </c>
      <c r="C21" s="2">
        <v>82.03</v>
      </c>
      <c r="D21" s="2">
        <v>74.760000000000005</v>
      </c>
      <c r="E21" s="2">
        <v>78.650000000000006</v>
      </c>
      <c r="F21" s="2">
        <v>76.83</v>
      </c>
      <c r="G21" s="2">
        <v>75.260000000000005</v>
      </c>
      <c r="H21" s="2">
        <v>82.09</v>
      </c>
      <c r="I21" s="2">
        <v>81.22</v>
      </c>
      <c r="J21" s="2">
        <v>80.7</v>
      </c>
      <c r="K21" s="2">
        <v>78.36</v>
      </c>
      <c r="L21" s="2">
        <v>78.66</v>
      </c>
      <c r="M21" s="2">
        <v>75.319999999999993</v>
      </c>
      <c r="N21" s="2">
        <v>78.989999999999995</v>
      </c>
      <c r="O21" s="2">
        <v>83.37</v>
      </c>
      <c r="P21" s="2">
        <v>78.31</v>
      </c>
      <c r="Q21" s="2">
        <v>73.94</v>
      </c>
      <c r="R21" s="2">
        <v>76.47</v>
      </c>
      <c r="S21" s="2">
        <v>77.52</v>
      </c>
      <c r="T21" s="2">
        <v>80.83</v>
      </c>
      <c r="U21" s="2">
        <v>66.28</v>
      </c>
      <c r="V21" s="2">
        <v>77.08</v>
      </c>
      <c r="W21" s="2">
        <v>76.5</v>
      </c>
      <c r="X21" s="2">
        <v>80.48</v>
      </c>
      <c r="Y21" s="2">
        <v>77.959999999999994</v>
      </c>
      <c r="Z21" s="2">
        <v>78.319999999999993</v>
      </c>
      <c r="AA21" s="2">
        <v>80.55</v>
      </c>
      <c r="AB21" s="2">
        <v>77.88</v>
      </c>
      <c r="AC21" s="2">
        <v>79.64</v>
      </c>
      <c r="AD21" s="2">
        <v>81.93</v>
      </c>
      <c r="AE21" s="2">
        <v>76.040000000000006</v>
      </c>
      <c r="AF21" s="2">
        <v>85.01</v>
      </c>
      <c r="AG21" s="2">
        <v>87.21</v>
      </c>
      <c r="AH21" s="2">
        <v>78.73</v>
      </c>
      <c r="AI21" s="2">
        <v>75.86</v>
      </c>
      <c r="AJ21" s="2">
        <v>70.17</v>
      </c>
      <c r="AK21" s="2">
        <v>79.2</v>
      </c>
      <c r="AL21" s="2">
        <v>77.569999999999993</v>
      </c>
      <c r="AM21" s="2">
        <v>77.66</v>
      </c>
      <c r="AN21" s="2">
        <v>74.489999999999995</v>
      </c>
      <c r="AO21" s="2">
        <v>70.069999999999993</v>
      </c>
      <c r="AP21" s="2">
        <v>67.8</v>
      </c>
      <c r="AQ21" s="2">
        <v>79.459999999999994</v>
      </c>
      <c r="AR21" s="2">
        <v>74.53</v>
      </c>
      <c r="AS21" s="2">
        <v>78.03</v>
      </c>
      <c r="AT21" s="2">
        <v>77.84</v>
      </c>
      <c r="AU21" s="2">
        <v>73.47</v>
      </c>
      <c r="AV21" s="2">
        <v>82.27</v>
      </c>
      <c r="AW21" s="2">
        <v>78.69</v>
      </c>
      <c r="AX21" s="2">
        <v>75.349999999999994</v>
      </c>
      <c r="AY21" s="2">
        <v>75.28</v>
      </c>
      <c r="AZ21" s="2">
        <v>81.48</v>
      </c>
      <c r="BA21" s="2">
        <v>72.66</v>
      </c>
      <c r="BB21" s="2">
        <v>78.540000000000006</v>
      </c>
      <c r="BC21" s="2">
        <v>71.44</v>
      </c>
      <c r="BD21" s="2">
        <v>74.5</v>
      </c>
      <c r="BE21" s="2">
        <v>73.680000000000007</v>
      </c>
      <c r="BF21" s="2">
        <v>80.680000000000007</v>
      </c>
      <c r="BG21" s="2">
        <v>77.62</v>
      </c>
      <c r="BH21" s="2">
        <v>80.05</v>
      </c>
      <c r="BI21" s="2">
        <v>80.02</v>
      </c>
      <c r="BJ21" s="2">
        <v>77.040000000000006</v>
      </c>
      <c r="BK21" s="2">
        <v>78.47</v>
      </c>
      <c r="BL21" s="2">
        <v>74.5</v>
      </c>
      <c r="BM21" s="2">
        <v>69.11</v>
      </c>
      <c r="BN21" s="2">
        <v>81.66</v>
      </c>
      <c r="BO21" s="2">
        <v>81.45</v>
      </c>
      <c r="BP21" s="2">
        <v>77.91</v>
      </c>
      <c r="BQ21" s="2">
        <v>74.33</v>
      </c>
      <c r="BR21" s="2">
        <v>77.09</v>
      </c>
      <c r="BS21" s="2">
        <v>77.040000000000006</v>
      </c>
      <c r="BT21" s="2">
        <v>78.92</v>
      </c>
      <c r="BU21" s="2">
        <v>83.64</v>
      </c>
      <c r="BV21" s="2">
        <v>78.14</v>
      </c>
      <c r="BW21" s="2">
        <v>78.430000000000007</v>
      </c>
      <c r="BX21" s="2">
        <v>77.42</v>
      </c>
      <c r="BY21" s="2">
        <v>72.13</v>
      </c>
      <c r="BZ21" s="2">
        <v>77.069999999999993</v>
      </c>
      <c r="CA21" s="2">
        <v>76.150000000000006</v>
      </c>
      <c r="CB21" s="2">
        <v>82.42</v>
      </c>
      <c r="CC21" s="2">
        <v>79.16</v>
      </c>
      <c r="CD21" s="2">
        <v>78.44</v>
      </c>
      <c r="CE21" s="2">
        <v>76</v>
      </c>
      <c r="CF21" s="2">
        <v>79.06</v>
      </c>
      <c r="CG21" s="2">
        <v>79.31</v>
      </c>
      <c r="CH21" s="2">
        <v>75.8</v>
      </c>
      <c r="CI21" s="2">
        <v>74.8</v>
      </c>
      <c r="CJ21" s="2">
        <v>77.040000000000006</v>
      </c>
      <c r="CK21" s="2">
        <v>80.14</v>
      </c>
      <c r="CL21" s="2">
        <v>76.77</v>
      </c>
      <c r="CM21" s="2">
        <v>73.55</v>
      </c>
      <c r="CN21" s="2">
        <v>75.22</v>
      </c>
      <c r="CO21" s="2">
        <v>82.82</v>
      </c>
      <c r="CP21" s="2">
        <v>82.46</v>
      </c>
      <c r="CQ21" s="2">
        <v>78.58</v>
      </c>
      <c r="CR21" s="2">
        <v>79.849999999999994</v>
      </c>
      <c r="CS21" s="2">
        <v>73.75</v>
      </c>
      <c r="CT21" s="2">
        <v>73.16</v>
      </c>
      <c r="CU21" s="2">
        <v>74.88</v>
      </c>
      <c r="CV21" s="2">
        <v>72.16</v>
      </c>
      <c r="CW21" s="2">
        <v>73</v>
      </c>
      <c r="CX21" s="2">
        <f t="shared" si="0"/>
        <v>77.450200000000038</v>
      </c>
    </row>
    <row r="22" spans="1:102" x14ac:dyDescent="0.2">
      <c r="A22" s="3" t="s">
        <v>139</v>
      </c>
      <c r="B22" s="2">
        <v>78.75</v>
      </c>
      <c r="C22" s="2">
        <v>82.37</v>
      </c>
      <c r="D22" s="2">
        <v>70.290000000000006</v>
      </c>
      <c r="E22" s="2">
        <v>70.02</v>
      </c>
      <c r="F22" s="2">
        <v>76.38</v>
      </c>
      <c r="G22" s="2">
        <v>75.260000000000005</v>
      </c>
      <c r="H22" s="2">
        <v>78.02</v>
      </c>
      <c r="I22" s="2">
        <v>75.42</v>
      </c>
      <c r="J22" s="2">
        <v>78.88</v>
      </c>
      <c r="K22" s="2">
        <v>76.84</v>
      </c>
      <c r="L22" s="2">
        <v>77.63</v>
      </c>
      <c r="M22" s="2">
        <v>75.17</v>
      </c>
      <c r="N22" s="2">
        <v>77.58</v>
      </c>
      <c r="O22" s="2">
        <v>75.73</v>
      </c>
      <c r="P22" s="2">
        <v>80.739999999999995</v>
      </c>
      <c r="Q22" s="2">
        <v>73.45</v>
      </c>
      <c r="R22" s="2">
        <v>77.650000000000006</v>
      </c>
      <c r="S22" s="2">
        <v>75.92</v>
      </c>
      <c r="T22" s="2">
        <v>79.98</v>
      </c>
      <c r="U22" s="2">
        <v>67.28</v>
      </c>
      <c r="V22" s="2">
        <v>80.73</v>
      </c>
      <c r="W22" s="2">
        <v>75.67</v>
      </c>
      <c r="X22" s="2">
        <v>77.28</v>
      </c>
      <c r="Y22" s="2">
        <v>78.36</v>
      </c>
      <c r="Z22" s="2">
        <v>75.680000000000007</v>
      </c>
      <c r="AA22" s="2">
        <v>82.22</v>
      </c>
      <c r="AB22" s="2">
        <v>71.430000000000007</v>
      </c>
      <c r="AC22" s="2">
        <v>81.040000000000006</v>
      </c>
      <c r="AD22" s="2">
        <v>76.790000000000006</v>
      </c>
      <c r="AE22" s="2">
        <v>78.58</v>
      </c>
      <c r="AF22" s="2">
        <v>78.040000000000006</v>
      </c>
      <c r="AG22" s="2">
        <v>86.25</v>
      </c>
      <c r="AH22" s="2">
        <v>81.150000000000006</v>
      </c>
      <c r="AI22" s="2">
        <v>77.27</v>
      </c>
      <c r="AJ22" s="2">
        <v>71.430000000000007</v>
      </c>
      <c r="AK22" s="2">
        <v>80.88</v>
      </c>
      <c r="AL22" s="2">
        <v>81.2</v>
      </c>
      <c r="AM22" s="2">
        <v>75.09</v>
      </c>
      <c r="AN22" s="2">
        <v>76.63</v>
      </c>
      <c r="AO22" s="2">
        <v>75.59</v>
      </c>
      <c r="AP22" s="2">
        <v>73.959999999999994</v>
      </c>
      <c r="AQ22" s="2">
        <v>75.83</v>
      </c>
      <c r="AR22" s="2">
        <v>73.69</v>
      </c>
      <c r="AS22" s="2">
        <v>80.03</v>
      </c>
      <c r="AT22" s="2">
        <v>73.959999999999994</v>
      </c>
      <c r="AU22" s="2">
        <v>81.93</v>
      </c>
      <c r="AV22" s="2">
        <v>78.86</v>
      </c>
      <c r="AW22" s="2">
        <v>74.72</v>
      </c>
      <c r="AX22" s="2">
        <v>73.59</v>
      </c>
      <c r="AY22" s="2">
        <v>79.62</v>
      </c>
      <c r="AZ22" s="2">
        <v>79.239999999999995</v>
      </c>
      <c r="BA22" s="2">
        <v>74.81</v>
      </c>
      <c r="BB22" s="2">
        <v>72.430000000000007</v>
      </c>
      <c r="BC22" s="2">
        <v>77.02</v>
      </c>
      <c r="BD22" s="2">
        <v>71.61</v>
      </c>
      <c r="BE22" s="2">
        <v>71.709999999999994</v>
      </c>
      <c r="BF22" s="2">
        <v>82.03</v>
      </c>
      <c r="BG22" s="2">
        <v>78.489999999999995</v>
      </c>
      <c r="BH22" s="2">
        <v>80.150000000000006</v>
      </c>
      <c r="BI22" s="2">
        <v>77.819999999999993</v>
      </c>
      <c r="BJ22" s="2">
        <v>75.849999999999994</v>
      </c>
      <c r="BK22" s="2">
        <v>78.900000000000006</v>
      </c>
      <c r="BL22" s="2">
        <v>74.319999999999993</v>
      </c>
      <c r="BM22" s="2">
        <v>70.22</v>
      </c>
      <c r="BN22" s="2">
        <v>83.86</v>
      </c>
      <c r="BO22" s="2">
        <v>74.3</v>
      </c>
      <c r="BP22" s="2">
        <v>76.63</v>
      </c>
      <c r="BQ22" s="2">
        <v>75.22</v>
      </c>
      <c r="BR22" s="2">
        <v>77.55</v>
      </c>
      <c r="BS22" s="2">
        <v>77.86</v>
      </c>
      <c r="BT22" s="2">
        <v>78.62</v>
      </c>
      <c r="BU22" s="2">
        <v>81.849999999999994</v>
      </c>
      <c r="BV22" s="2">
        <v>83.04</v>
      </c>
      <c r="BW22" s="2">
        <v>77.7</v>
      </c>
      <c r="BX22" s="2">
        <v>77.349999999999994</v>
      </c>
      <c r="BY22" s="2">
        <v>75.78</v>
      </c>
      <c r="BZ22" s="2">
        <v>76.16</v>
      </c>
      <c r="CA22" s="2">
        <v>78.2</v>
      </c>
      <c r="CB22" s="2">
        <v>78.37</v>
      </c>
      <c r="CC22" s="2">
        <v>75.44</v>
      </c>
      <c r="CD22" s="2">
        <v>76.739999999999995</v>
      </c>
      <c r="CE22" s="2">
        <v>69.92</v>
      </c>
      <c r="CF22" s="2">
        <v>74.5</v>
      </c>
      <c r="CG22" s="2">
        <v>78.45</v>
      </c>
      <c r="CH22" s="2">
        <v>76.91</v>
      </c>
      <c r="CI22" s="2">
        <v>71.45</v>
      </c>
      <c r="CJ22" s="2">
        <v>75.89</v>
      </c>
      <c r="CK22" s="2">
        <v>82.01</v>
      </c>
      <c r="CL22" s="2">
        <v>74.290000000000006</v>
      </c>
      <c r="CM22" s="2">
        <v>74.239999999999995</v>
      </c>
      <c r="CN22" s="2">
        <v>76.94</v>
      </c>
      <c r="CO22" s="2">
        <v>76.400000000000006</v>
      </c>
      <c r="CP22" s="2">
        <v>76.14</v>
      </c>
      <c r="CQ22" s="2">
        <v>75.67</v>
      </c>
      <c r="CR22" s="2">
        <v>75.17</v>
      </c>
      <c r="CS22" s="2">
        <v>80.260000000000005</v>
      </c>
      <c r="CT22" s="2">
        <v>74.83</v>
      </c>
      <c r="CU22" s="2">
        <v>76.510000000000005</v>
      </c>
      <c r="CV22" s="2">
        <v>71.61</v>
      </c>
      <c r="CW22" s="2">
        <v>76.58</v>
      </c>
      <c r="CX22" s="2">
        <f t="shared" si="0"/>
        <v>76.778999999999968</v>
      </c>
    </row>
    <row r="23" spans="1:102" x14ac:dyDescent="0.2">
      <c r="A23" s="3" t="s">
        <v>140</v>
      </c>
      <c r="B23" s="2">
        <v>68.489999999999995</v>
      </c>
      <c r="C23" s="2">
        <v>79.48</v>
      </c>
      <c r="D23" s="2">
        <v>76.91</v>
      </c>
      <c r="E23" s="2">
        <v>73.28</v>
      </c>
      <c r="F23" s="2">
        <v>73.09</v>
      </c>
      <c r="G23" s="2">
        <v>72.19</v>
      </c>
      <c r="H23" s="2">
        <v>79.650000000000006</v>
      </c>
      <c r="I23" s="2">
        <v>72.75</v>
      </c>
      <c r="J23" s="2">
        <v>79.55</v>
      </c>
      <c r="K23" s="2">
        <v>80.16</v>
      </c>
      <c r="L23" s="2">
        <v>74.430000000000007</v>
      </c>
      <c r="M23" s="2">
        <v>76.25</v>
      </c>
      <c r="N23" s="2">
        <v>76.22</v>
      </c>
      <c r="O23" s="2">
        <v>80.069999999999993</v>
      </c>
      <c r="P23" s="2">
        <v>83.16</v>
      </c>
      <c r="Q23" s="2">
        <v>75.92</v>
      </c>
      <c r="R23" s="2">
        <v>72.989999999999995</v>
      </c>
      <c r="S23" s="2">
        <v>79.180000000000007</v>
      </c>
      <c r="T23" s="2">
        <v>78.180000000000007</v>
      </c>
      <c r="U23" s="2">
        <v>73.7</v>
      </c>
      <c r="V23" s="2">
        <v>79.38</v>
      </c>
      <c r="W23" s="2">
        <v>71.34</v>
      </c>
      <c r="X23" s="2">
        <v>77.53</v>
      </c>
      <c r="Y23" s="2">
        <v>74.61</v>
      </c>
      <c r="Z23" s="2">
        <v>80.599999999999994</v>
      </c>
      <c r="AA23" s="2">
        <v>79.56</v>
      </c>
      <c r="AB23" s="2">
        <v>75.84</v>
      </c>
      <c r="AC23" s="2">
        <v>78.31</v>
      </c>
      <c r="AD23" s="2">
        <v>78.430000000000007</v>
      </c>
      <c r="AE23" s="2">
        <v>81.14</v>
      </c>
      <c r="AF23" s="2">
        <v>78.290000000000006</v>
      </c>
      <c r="AG23" s="2">
        <v>78.55</v>
      </c>
      <c r="AH23" s="2">
        <v>78.959999999999994</v>
      </c>
      <c r="AI23" s="2">
        <v>78.45</v>
      </c>
      <c r="AJ23" s="2">
        <v>74.25</v>
      </c>
      <c r="AK23" s="2">
        <v>76.84</v>
      </c>
      <c r="AL23" s="2">
        <v>79.290000000000006</v>
      </c>
      <c r="AM23" s="2">
        <v>78.72</v>
      </c>
      <c r="AN23" s="2">
        <v>77.17</v>
      </c>
      <c r="AO23" s="2">
        <v>74.599999999999994</v>
      </c>
      <c r="AP23" s="2">
        <v>80.14</v>
      </c>
      <c r="AQ23" s="2">
        <v>74.52</v>
      </c>
      <c r="AR23" s="2">
        <v>76.650000000000006</v>
      </c>
      <c r="AS23" s="2">
        <v>81.680000000000007</v>
      </c>
      <c r="AT23" s="2">
        <v>77.25</v>
      </c>
      <c r="AU23" s="2">
        <v>79.36</v>
      </c>
      <c r="AV23" s="2">
        <v>82.02</v>
      </c>
      <c r="AW23" s="2">
        <v>76.98</v>
      </c>
      <c r="AX23" s="2">
        <v>71.37</v>
      </c>
      <c r="AY23" s="2">
        <v>78.06</v>
      </c>
      <c r="AZ23" s="2">
        <v>70.790000000000006</v>
      </c>
      <c r="BA23" s="2">
        <v>77.790000000000006</v>
      </c>
      <c r="BB23" s="2">
        <v>75.72</v>
      </c>
      <c r="BC23" s="2">
        <v>74.180000000000007</v>
      </c>
      <c r="BD23" s="2">
        <v>72.86</v>
      </c>
      <c r="BE23" s="2">
        <v>73.05</v>
      </c>
      <c r="BF23" s="2">
        <v>74.84</v>
      </c>
      <c r="BG23" s="2">
        <v>78</v>
      </c>
      <c r="BH23" s="2">
        <v>77.14</v>
      </c>
      <c r="BI23" s="2">
        <v>75.540000000000006</v>
      </c>
      <c r="BJ23" s="2">
        <v>76.23</v>
      </c>
      <c r="BK23" s="2">
        <v>77.87</v>
      </c>
      <c r="BL23" s="2">
        <v>77.47</v>
      </c>
      <c r="BM23" s="2">
        <v>75.510000000000005</v>
      </c>
      <c r="BN23" s="2">
        <v>78.25</v>
      </c>
      <c r="BO23" s="2">
        <v>70.06</v>
      </c>
      <c r="BP23" s="2">
        <v>78.42</v>
      </c>
      <c r="BQ23" s="2">
        <v>75.790000000000006</v>
      </c>
      <c r="BR23" s="2">
        <v>74.2</v>
      </c>
      <c r="BS23" s="2">
        <v>78.48</v>
      </c>
      <c r="BT23" s="2">
        <v>76.33</v>
      </c>
      <c r="BU23" s="2">
        <v>80.150000000000006</v>
      </c>
      <c r="BV23" s="2">
        <v>77.2</v>
      </c>
      <c r="BW23" s="2">
        <v>73.59</v>
      </c>
      <c r="BX23" s="2">
        <v>82.68</v>
      </c>
      <c r="BY23" s="2">
        <v>77.13</v>
      </c>
      <c r="BZ23" s="2">
        <v>79.48</v>
      </c>
      <c r="CA23" s="2">
        <v>81.59</v>
      </c>
      <c r="CB23" s="2">
        <v>80.900000000000006</v>
      </c>
      <c r="CC23" s="2">
        <v>77.31</v>
      </c>
      <c r="CD23" s="2">
        <v>78.459999999999994</v>
      </c>
      <c r="CE23" s="2">
        <v>73.36</v>
      </c>
      <c r="CF23" s="2">
        <v>78.569999999999993</v>
      </c>
      <c r="CG23" s="2">
        <v>73.900000000000006</v>
      </c>
      <c r="CH23" s="2">
        <v>76.239999999999995</v>
      </c>
      <c r="CI23" s="2">
        <v>75.349999999999994</v>
      </c>
      <c r="CJ23" s="2">
        <v>77.569999999999993</v>
      </c>
      <c r="CK23" s="2">
        <v>82.32</v>
      </c>
      <c r="CL23" s="2">
        <v>73.89</v>
      </c>
      <c r="CM23" s="2">
        <v>76.62</v>
      </c>
      <c r="CN23" s="2">
        <v>78.180000000000007</v>
      </c>
      <c r="CO23" s="2">
        <v>77.760000000000005</v>
      </c>
      <c r="CP23" s="2">
        <v>73.62</v>
      </c>
      <c r="CQ23" s="2">
        <v>79.209999999999994</v>
      </c>
      <c r="CR23" s="2">
        <v>80.09</v>
      </c>
      <c r="CS23" s="2">
        <v>81.8</v>
      </c>
      <c r="CT23" s="2">
        <v>77.66</v>
      </c>
      <c r="CU23" s="2">
        <v>78.19</v>
      </c>
      <c r="CV23" s="2">
        <v>69.62</v>
      </c>
      <c r="CW23" s="2">
        <v>72.2</v>
      </c>
      <c r="CX23" s="2">
        <f t="shared" si="0"/>
        <v>76.886999999999972</v>
      </c>
    </row>
    <row r="24" spans="1:102" x14ac:dyDescent="0.2">
      <c r="A24" s="3" t="s">
        <v>141</v>
      </c>
      <c r="B24" s="2">
        <v>75.959999999999994</v>
      </c>
      <c r="C24" s="2">
        <v>77.66</v>
      </c>
      <c r="D24" s="2">
        <v>77.52</v>
      </c>
      <c r="E24" s="2">
        <v>78.260000000000005</v>
      </c>
      <c r="F24" s="2">
        <v>75.540000000000006</v>
      </c>
      <c r="G24" s="2">
        <v>71.150000000000006</v>
      </c>
      <c r="H24" s="2">
        <v>78.7</v>
      </c>
      <c r="I24" s="2">
        <v>71.55</v>
      </c>
      <c r="J24" s="2">
        <v>78.48</v>
      </c>
      <c r="K24" s="2">
        <v>76.05</v>
      </c>
      <c r="L24" s="2">
        <v>75.47</v>
      </c>
      <c r="M24" s="2">
        <v>76.63</v>
      </c>
      <c r="N24" s="2">
        <v>79.33</v>
      </c>
      <c r="O24" s="2">
        <v>73.86</v>
      </c>
      <c r="P24" s="2">
        <v>79.81</v>
      </c>
      <c r="Q24" s="2">
        <v>72.34</v>
      </c>
      <c r="R24" s="2">
        <v>72.2</v>
      </c>
      <c r="S24" s="2">
        <v>79.66</v>
      </c>
      <c r="T24" s="2">
        <v>75.3</v>
      </c>
      <c r="U24" s="2">
        <v>76.28</v>
      </c>
      <c r="V24" s="2">
        <v>76.55</v>
      </c>
      <c r="W24" s="2">
        <v>77.59</v>
      </c>
      <c r="X24" s="2">
        <v>75.709999999999994</v>
      </c>
      <c r="Y24" s="2">
        <v>76.44</v>
      </c>
      <c r="Z24" s="2">
        <v>78.11</v>
      </c>
      <c r="AA24" s="2">
        <v>76.510000000000005</v>
      </c>
      <c r="AB24" s="2">
        <v>74.150000000000006</v>
      </c>
      <c r="AC24" s="2">
        <v>75.11</v>
      </c>
      <c r="AD24" s="2">
        <v>76.489999999999995</v>
      </c>
      <c r="AE24" s="2">
        <v>69.12</v>
      </c>
      <c r="AF24" s="2">
        <v>79.78</v>
      </c>
      <c r="AG24" s="2">
        <v>75.61</v>
      </c>
      <c r="AH24" s="2">
        <v>81.569999999999993</v>
      </c>
      <c r="AI24" s="2">
        <v>77.42</v>
      </c>
      <c r="AJ24" s="2">
        <v>78.349999999999994</v>
      </c>
      <c r="AK24" s="2">
        <v>75.489999999999995</v>
      </c>
      <c r="AL24" s="2">
        <v>78.5</v>
      </c>
      <c r="AM24" s="2">
        <v>78.05</v>
      </c>
      <c r="AN24" s="2">
        <v>79.73</v>
      </c>
      <c r="AO24" s="2">
        <v>71.59</v>
      </c>
      <c r="AP24" s="2">
        <v>78.95</v>
      </c>
      <c r="AQ24" s="2">
        <v>76.28</v>
      </c>
      <c r="AR24" s="2">
        <v>73.36</v>
      </c>
      <c r="AS24" s="2">
        <v>83.79</v>
      </c>
      <c r="AT24" s="2">
        <v>76.069999999999993</v>
      </c>
      <c r="AU24" s="2">
        <v>74.27</v>
      </c>
      <c r="AV24" s="2">
        <v>78.61</v>
      </c>
      <c r="AW24" s="2">
        <v>76.430000000000007</v>
      </c>
      <c r="AX24" s="2">
        <v>74.06</v>
      </c>
      <c r="AY24" s="2">
        <v>82.11</v>
      </c>
      <c r="AZ24" s="2">
        <v>73.540000000000006</v>
      </c>
      <c r="BA24" s="2">
        <v>77.069999999999993</v>
      </c>
      <c r="BB24" s="2">
        <v>72.650000000000006</v>
      </c>
      <c r="BC24" s="2">
        <v>77.03</v>
      </c>
      <c r="BD24" s="2">
        <v>76.67</v>
      </c>
      <c r="BE24" s="2">
        <v>79.819999999999993</v>
      </c>
      <c r="BF24" s="2">
        <v>71.05</v>
      </c>
      <c r="BG24" s="2">
        <v>77.16</v>
      </c>
      <c r="BH24" s="2">
        <v>76.44</v>
      </c>
      <c r="BI24" s="2">
        <v>79.13</v>
      </c>
      <c r="BJ24" s="2">
        <v>77.790000000000006</v>
      </c>
      <c r="BK24" s="2">
        <v>75.39</v>
      </c>
      <c r="BL24" s="2">
        <v>83.52</v>
      </c>
      <c r="BM24" s="2">
        <v>82.75</v>
      </c>
      <c r="BN24" s="2">
        <v>75.44</v>
      </c>
      <c r="BO24" s="2">
        <v>75.569999999999993</v>
      </c>
      <c r="BP24" s="2">
        <v>76.05</v>
      </c>
      <c r="BQ24" s="2">
        <v>78.55</v>
      </c>
      <c r="BR24" s="2">
        <v>73.47</v>
      </c>
      <c r="BS24" s="2">
        <v>78.59</v>
      </c>
      <c r="BT24" s="2">
        <v>73.87</v>
      </c>
      <c r="BU24" s="2">
        <v>78.88</v>
      </c>
      <c r="BV24" s="2">
        <v>74.599999999999994</v>
      </c>
      <c r="BW24" s="2">
        <v>73.099999999999994</v>
      </c>
      <c r="BX24" s="2">
        <v>77.95</v>
      </c>
      <c r="BY24" s="2">
        <v>76.31</v>
      </c>
      <c r="BZ24" s="2">
        <v>79.62</v>
      </c>
      <c r="CA24" s="2">
        <v>83.3</v>
      </c>
      <c r="CB24" s="2">
        <v>82.32</v>
      </c>
      <c r="CC24" s="2">
        <v>80</v>
      </c>
      <c r="CD24" s="2">
        <v>75.84</v>
      </c>
      <c r="CE24" s="2">
        <v>79.319999999999993</v>
      </c>
      <c r="CF24" s="2">
        <v>78.11</v>
      </c>
      <c r="CG24" s="2">
        <v>78.19</v>
      </c>
      <c r="CH24" s="2">
        <v>77.38</v>
      </c>
      <c r="CI24" s="2">
        <v>77.08</v>
      </c>
      <c r="CJ24" s="2">
        <v>77.89</v>
      </c>
      <c r="CK24" s="2">
        <v>82.58</v>
      </c>
      <c r="CL24" s="2">
        <v>71.98</v>
      </c>
      <c r="CM24" s="2">
        <v>80.67</v>
      </c>
      <c r="CN24" s="2">
        <v>76.52</v>
      </c>
      <c r="CO24" s="2">
        <v>75.73</v>
      </c>
      <c r="CP24" s="2">
        <v>73.87</v>
      </c>
      <c r="CQ24" s="2">
        <v>76.97</v>
      </c>
      <c r="CR24" s="2">
        <v>80.400000000000006</v>
      </c>
      <c r="CS24" s="2">
        <v>83.27</v>
      </c>
      <c r="CT24" s="2">
        <v>74.989999999999995</v>
      </c>
      <c r="CU24" s="2">
        <v>80</v>
      </c>
      <c r="CV24" s="2">
        <v>76.010000000000005</v>
      </c>
      <c r="CW24" s="2">
        <v>79.83</v>
      </c>
      <c r="CX24" s="2">
        <f t="shared" si="0"/>
        <v>77.018100000000018</v>
      </c>
    </row>
    <row r="25" spans="1:102" x14ac:dyDescent="0.2">
      <c r="A25" s="3" t="s">
        <v>142</v>
      </c>
      <c r="B25" s="2">
        <v>75.23</v>
      </c>
      <c r="C25" s="2">
        <v>76.86</v>
      </c>
      <c r="D25" s="2">
        <v>77.22</v>
      </c>
      <c r="E25" s="2">
        <v>78.59</v>
      </c>
      <c r="F25" s="2">
        <v>74.52</v>
      </c>
      <c r="G25" s="2">
        <v>75.02</v>
      </c>
      <c r="H25" s="2">
        <v>79.319999999999993</v>
      </c>
      <c r="I25" s="2">
        <v>74.06</v>
      </c>
      <c r="J25" s="2">
        <v>79.83</v>
      </c>
      <c r="K25" s="2">
        <v>78.3</v>
      </c>
      <c r="L25" s="2">
        <v>75.260000000000005</v>
      </c>
      <c r="M25" s="2">
        <v>74.75</v>
      </c>
      <c r="N25" s="2">
        <v>74.02</v>
      </c>
      <c r="O25" s="2">
        <v>77.66</v>
      </c>
      <c r="P25" s="2">
        <v>76.08</v>
      </c>
      <c r="Q25" s="2">
        <v>73.75</v>
      </c>
      <c r="R25" s="2">
        <v>72.97</v>
      </c>
      <c r="S25" s="2">
        <v>78.930000000000007</v>
      </c>
      <c r="T25" s="2">
        <v>78.44</v>
      </c>
      <c r="U25" s="2">
        <v>75.12</v>
      </c>
      <c r="V25" s="2">
        <v>73.12</v>
      </c>
      <c r="W25" s="2">
        <v>78.64</v>
      </c>
      <c r="X25" s="2">
        <v>73.69</v>
      </c>
      <c r="Y25" s="2">
        <v>77.19</v>
      </c>
      <c r="Z25" s="2">
        <v>79.19</v>
      </c>
      <c r="AA25" s="2">
        <v>69.959999999999994</v>
      </c>
      <c r="AB25" s="2">
        <v>80.739999999999995</v>
      </c>
      <c r="AC25" s="2">
        <v>77.430000000000007</v>
      </c>
      <c r="AD25" s="2">
        <v>73.069999999999993</v>
      </c>
      <c r="AE25" s="2">
        <v>74.959999999999994</v>
      </c>
      <c r="AF25" s="2">
        <v>77.19</v>
      </c>
      <c r="AG25" s="2">
        <v>74.510000000000005</v>
      </c>
      <c r="AH25" s="2">
        <v>76.28</v>
      </c>
      <c r="AI25" s="2">
        <v>76.75</v>
      </c>
      <c r="AJ25" s="2">
        <v>76.52</v>
      </c>
      <c r="AK25" s="2">
        <v>74.34</v>
      </c>
      <c r="AL25" s="2">
        <v>81.33</v>
      </c>
      <c r="AM25" s="2">
        <v>75.92</v>
      </c>
      <c r="AN25" s="2">
        <v>80.06</v>
      </c>
      <c r="AO25" s="2">
        <v>66.790000000000006</v>
      </c>
      <c r="AP25" s="2">
        <v>80</v>
      </c>
      <c r="AQ25" s="2">
        <v>74.62</v>
      </c>
      <c r="AR25" s="2">
        <v>68.81</v>
      </c>
      <c r="AS25" s="2">
        <v>76.27</v>
      </c>
      <c r="AT25" s="2">
        <v>77.61</v>
      </c>
      <c r="AU25" s="2">
        <v>76.66</v>
      </c>
      <c r="AV25" s="2">
        <v>79</v>
      </c>
      <c r="AW25" s="2">
        <v>77.459999999999994</v>
      </c>
      <c r="AX25" s="2">
        <v>77.430000000000007</v>
      </c>
      <c r="AY25" s="2">
        <v>80.89</v>
      </c>
      <c r="AZ25" s="2">
        <v>75.88</v>
      </c>
      <c r="BA25" s="2">
        <v>78.540000000000006</v>
      </c>
      <c r="BB25" s="2">
        <v>74.459999999999994</v>
      </c>
      <c r="BC25" s="2">
        <v>78.3</v>
      </c>
      <c r="BD25" s="2">
        <v>77.010000000000005</v>
      </c>
      <c r="BE25" s="2">
        <v>76.16</v>
      </c>
      <c r="BF25" s="2">
        <v>71.52</v>
      </c>
      <c r="BG25" s="2">
        <v>77.2</v>
      </c>
      <c r="BH25" s="2">
        <v>79.510000000000005</v>
      </c>
      <c r="BI25" s="2">
        <v>74.92</v>
      </c>
      <c r="BJ25" s="2">
        <v>81.010000000000005</v>
      </c>
      <c r="BK25" s="2">
        <v>77.16</v>
      </c>
      <c r="BL25" s="2">
        <v>79.790000000000006</v>
      </c>
      <c r="BM25" s="2">
        <v>88.02</v>
      </c>
      <c r="BN25" s="2">
        <v>74.7</v>
      </c>
      <c r="BO25" s="2">
        <v>81.09</v>
      </c>
      <c r="BP25" s="2">
        <v>72.989999999999995</v>
      </c>
      <c r="BQ25" s="2">
        <v>72.87</v>
      </c>
      <c r="BR25" s="2">
        <v>81.010000000000005</v>
      </c>
      <c r="BS25" s="2">
        <v>73.8</v>
      </c>
      <c r="BT25" s="2">
        <v>76.400000000000006</v>
      </c>
      <c r="BU25" s="2">
        <v>82.07</v>
      </c>
      <c r="BV25" s="2">
        <v>71.459999999999994</v>
      </c>
      <c r="BW25" s="2">
        <v>73.47</v>
      </c>
      <c r="BX25" s="2">
        <v>80.069999999999993</v>
      </c>
      <c r="BY25" s="2">
        <v>77.77</v>
      </c>
      <c r="BZ25" s="2">
        <v>83.06</v>
      </c>
      <c r="CA25" s="2">
        <v>80.13</v>
      </c>
      <c r="CB25" s="2">
        <v>85.91</v>
      </c>
      <c r="CC25" s="2">
        <v>81.040000000000006</v>
      </c>
      <c r="CD25" s="2">
        <v>73.42</v>
      </c>
      <c r="CE25" s="2">
        <v>76.27</v>
      </c>
      <c r="CF25" s="2">
        <v>74.459999999999994</v>
      </c>
      <c r="CG25" s="2">
        <v>78.400000000000006</v>
      </c>
      <c r="CH25" s="2">
        <v>77.81</v>
      </c>
      <c r="CI25" s="2">
        <v>76.83</v>
      </c>
      <c r="CJ25" s="2">
        <v>80.61</v>
      </c>
      <c r="CK25" s="2">
        <v>78.03</v>
      </c>
      <c r="CL25" s="2">
        <v>71.19</v>
      </c>
      <c r="CM25" s="2">
        <v>78.5</v>
      </c>
      <c r="CN25" s="2">
        <v>76.64</v>
      </c>
      <c r="CO25" s="2">
        <v>81.12</v>
      </c>
      <c r="CP25" s="2">
        <v>77.84</v>
      </c>
      <c r="CQ25" s="2">
        <v>74.349999999999994</v>
      </c>
      <c r="CR25" s="2">
        <v>78.83</v>
      </c>
      <c r="CS25" s="2">
        <v>80.97</v>
      </c>
      <c r="CT25" s="2">
        <v>81.95</v>
      </c>
      <c r="CU25" s="2">
        <v>81.92</v>
      </c>
      <c r="CV25" s="2">
        <v>82.79</v>
      </c>
      <c r="CW25" s="2">
        <v>76.739999999999995</v>
      </c>
      <c r="CX25" s="2">
        <f t="shared" si="0"/>
        <v>77.083500000000015</v>
      </c>
    </row>
    <row r="26" spans="1:102" x14ac:dyDescent="0.2">
      <c r="A26" s="3" t="s">
        <v>143</v>
      </c>
      <c r="B26" s="2">
        <v>75.900000000000006</v>
      </c>
      <c r="C26" s="2">
        <v>71.150000000000006</v>
      </c>
      <c r="D26" s="2">
        <v>77.53</v>
      </c>
      <c r="E26" s="2">
        <v>79.3</v>
      </c>
      <c r="F26" s="2">
        <v>74.260000000000005</v>
      </c>
      <c r="G26" s="2">
        <v>76.989999999999995</v>
      </c>
      <c r="H26" s="2">
        <v>82.05</v>
      </c>
      <c r="I26" s="2">
        <v>78.56</v>
      </c>
      <c r="J26" s="2">
        <v>85.37</v>
      </c>
      <c r="K26" s="2">
        <v>79.28</v>
      </c>
      <c r="L26" s="2">
        <v>80.569999999999993</v>
      </c>
      <c r="M26" s="2">
        <v>70.319999999999993</v>
      </c>
      <c r="N26" s="2">
        <v>77.19</v>
      </c>
      <c r="O26" s="2">
        <v>79.5</v>
      </c>
      <c r="P26" s="2">
        <v>80.959999999999994</v>
      </c>
      <c r="Q26" s="2">
        <v>78.069999999999993</v>
      </c>
      <c r="R26" s="2">
        <v>75.52</v>
      </c>
      <c r="S26" s="2">
        <v>81.06</v>
      </c>
      <c r="T26" s="2">
        <v>76.290000000000006</v>
      </c>
      <c r="U26" s="2">
        <v>73.34</v>
      </c>
      <c r="V26" s="2">
        <v>79.09</v>
      </c>
      <c r="W26" s="2">
        <v>77.180000000000007</v>
      </c>
      <c r="X26" s="2">
        <v>76.89</v>
      </c>
      <c r="Y26" s="2">
        <v>84.23</v>
      </c>
      <c r="Z26" s="2">
        <v>75.47</v>
      </c>
      <c r="AA26" s="2">
        <v>77.010000000000005</v>
      </c>
      <c r="AB26" s="2">
        <v>79.81</v>
      </c>
      <c r="AC26" s="2">
        <v>77.12</v>
      </c>
      <c r="AD26" s="2">
        <v>73.180000000000007</v>
      </c>
      <c r="AE26" s="2">
        <v>74.569999999999993</v>
      </c>
      <c r="AF26" s="2">
        <v>76.12</v>
      </c>
      <c r="AG26" s="2">
        <v>78.87</v>
      </c>
      <c r="AH26" s="2">
        <v>76.930000000000007</v>
      </c>
      <c r="AI26" s="2">
        <v>70.569999999999993</v>
      </c>
      <c r="AJ26" s="2">
        <v>81.05</v>
      </c>
      <c r="AK26" s="2">
        <v>76.83</v>
      </c>
      <c r="AL26" s="2">
        <v>82.84</v>
      </c>
      <c r="AM26" s="2">
        <v>76.17</v>
      </c>
      <c r="AN26" s="2">
        <v>81.91</v>
      </c>
      <c r="AO26" s="2">
        <v>71.650000000000006</v>
      </c>
      <c r="AP26" s="2">
        <v>77.59</v>
      </c>
      <c r="AQ26" s="2">
        <v>73.510000000000005</v>
      </c>
      <c r="AR26" s="2">
        <v>69.89</v>
      </c>
      <c r="AS26" s="2">
        <v>77.14</v>
      </c>
      <c r="AT26" s="2">
        <v>80.98</v>
      </c>
      <c r="AU26" s="2">
        <v>79</v>
      </c>
      <c r="AV26" s="2">
        <v>80.97</v>
      </c>
      <c r="AW26" s="2">
        <v>76.55</v>
      </c>
      <c r="AX26" s="2">
        <v>81.99</v>
      </c>
      <c r="AY26" s="2">
        <v>80.77</v>
      </c>
      <c r="AZ26" s="2">
        <v>74.95</v>
      </c>
      <c r="BA26" s="2">
        <v>73.31</v>
      </c>
      <c r="BB26" s="2">
        <v>71</v>
      </c>
      <c r="BC26" s="2">
        <v>79.94</v>
      </c>
      <c r="BD26" s="2">
        <v>79.62</v>
      </c>
      <c r="BE26" s="2">
        <v>73.319999999999993</v>
      </c>
      <c r="BF26" s="2">
        <v>76.16</v>
      </c>
      <c r="BG26" s="2">
        <v>81.5</v>
      </c>
      <c r="BH26" s="2">
        <v>76.02</v>
      </c>
      <c r="BI26" s="2">
        <v>77.42</v>
      </c>
      <c r="BJ26" s="2">
        <v>81.59</v>
      </c>
      <c r="BK26" s="2">
        <v>75.09</v>
      </c>
      <c r="BL26" s="2">
        <v>76.930000000000007</v>
      </c>
      <c r="BM26" s="2">
        <v>80.430000000000007</v>
      </c>
      <c r="BN26" s="2">
        <v>71.89</v>
      </c>
      <c r="BO26" s="2">
        <v>76.900000000000006</v>
      </c>
      <c r="BP26" s="2">
        <v>74.290000000000006</v>
      </c>
      <c r="BQ26" s="2">
        <v>75.42</v>
      </c>
      <c r="BR26" s="2">
        <v>81.2</v>
      </c>
      <c r="BS26" s="2">
        <v>73.63</v>
      </c>
      <c r="BT26" s="2">
        <v>81.569999999999993</v>
      </c>
      <c r="BU26" s="2">
        <v>84.64</v>
      </c>
      <c r="BV26" s="2">
        <v>71.34</v>
      </c>
      <c r="BW26" s="2">
        <v>73.87</v>
      </c>
      <c r="BX26" s="2">
        <v>75.11</v>
      </c>
      <c r="BY26" s="2">
        <v>76.23</v>
      </c>
      <c r="BZ26" s="2">
        <v>82.11</v>
      </c>
      <c r="CA26" s="2">
        <v>76.34</v>
      </c>
      <c r="CB26" s="2">
        <v>77.22</v>
      </c>
      <c r="CC26" s="2">
        <v>81.72</v>
      </c>
      <c r="CD26" s="2">
        <v>74.09</v>
      </c>
      <c r="CE26" s="2">
        <v>76.61</v>
      </c>
      <c r="CF26" s="2">
        <v>76.58</v>
      </c>
      <c r="CG26" s="2">
        <v>78.13</v>
      </c>
      <c r="CH26" s="2">
        <v>77.239999999999995</v>
      </c>
      <c r="CI26" s="2">
        <v>76.650000000000006</v>
      </c>
      <c r="CJ26" s="2">
        <v>76.09</v>
      </c>
      <c r="CK26" s="2">
        <v>73.81</v>
      </c>
      <c r="CL26" s="2">
        <v>70.61</v>
      </c>
      <c r="CM26" s="2">
        <v>82.97</v>
      </c>
      <c r="CN26" s="2">
        <v>77.58</v>
      </c>
      <c r="CO26" s="2">
        <v>78.040000000000006</v>
      </c>
      <c r="CP26" s="2">
        <v>77.12</v>
      </c>
      <c r="CQ26" s="2">
        <v>75.22</v>
      </c>
      <c r="CR26" s="2">
        <v>76.510000000000005</v>
      </c>
      <c r="CS26" s="2">
        <v>75.760000000000005</v>
      </c>
      <c r="CT26" s="2">
        <v>77.38</v>
      </c>
      <c r="CU26" s="2">
        <v>77.69</v>
      </c>
      <c r="CV26" s="2">
        <v>78.599999999999994</v>
      </c>
      <c r="CW26" s="2">
        <v>73.400000000000006</v>
      </c>
      <c r="CX26" s="2">
        <f t="shared" si="0"/>
        <v>77.199299999999994</v>
      </c>
    </row>
    <row r="27" spans="1:102" x14ac:dyDescent="0.2">
      <c r="A27" s="3" t="s">
        <v>144</v>
      </c>
      <c r="B27" s="2">
        <v>77.36</v>
      </c>
      <c r="C27" s="2">
        <v>76.47</v>
      </c>
      <c r="D27" s="2">
        <v>76.11</v>
      </c>
      <c r="E27" s="2">
        <v>77.09</v>
      </c>
      <c r="F27" s="2">
        <v>69.66</v>
      </c>
      <c r="G27" s="2">
        <v>77.19</v>
      </c>
      <c r="H27" s="2">
        <v>79.739999999999995</v>
      </c>
      <c r="I27" s="2">
        <v>80.760000000000005</v>
      </c>
      <c r="J27" s="2">
        <v>84.85</v>
      </c>
      <c r="K27" s="2">
        <v>75.48</v>
      </c>
      <c r="L27" s="2">
        <v>76.34</v>
      </c>
      <c r="M27" s="2">
        <v>73.72</v>
      </c>
      <c r="N27" s="2">
        <v>79.459999999999994</v>
      </c>
      <c r="O27" s="2">
        <v>74.97</v>
      </c>
      <c r="P27" s="2">
        <v>78.28</v>
      </c>
      <c r="Q27" s="2">
        <v>82.89</v>
      </c>
      <c r="R27" s="2">
        <v>74.28</v>
      </c>
      <c r="S27" s="2">
        <v>74.27</v>
      </c>
      <c r="T27" s="2">
        <v>77.099999999999994</v>
      </c>
      <c r="U27" s="2">
        <v>75.650000000000006</v>
      </c>
      <c r="V27" s="2">
        <v>76.38</v>
      </c>
      <c r="W27" s="2">
        <v>75.22</v>
      </c>
      <c r="X27" s="2">
        <v>74.58</v>
      </c>
      <c r="Y27" s="2">
        <v>82.43</v>
      </c>
      <c r="Z27" s="2">
        <v>79.400000000000006</v>
      </c>
      <c r="AA27" s="2">
        <v>79.77</v>
      </c>
      <c r="AB27" s="2">
        <v>76.510000000000005</v>
      </c>
      <c r="AC27" s="2">
        <v>77.709999999999994</v>
      </c>
      <c r="AD27" s="2">
        <v>71.400000000000006</v>
      </c>
      <c r="AE27" s="2">
        <v>71.64</v>
      </c>
      <c r="AF27" s="2">
        <v>73.81</v>
      </c>
      <c r="AG27" s="2">
        <v>77.930000000000007</v>
      </c>
      <c r="AH27" s="2">
        <v>77.03</v>
      </c>
      <c r="AI27" s="2">
        <v>72.36</v>
      </c>
      <c r="AJ27" s="2">
        <v>77.31</v>
      </c>
      <c r="AK27" s="2">
        <v>76.97</v>
      </c>
      <c r="AL27" s="2">
        <v>82.27</v>
      </c>
      <c r="AM27" s="2">
        <v>74.45</v>
      </c>
      <c r="AN27" s="2">
        <v>80.13</v>
      </c>
      <c r="AO27" s="2">
        <v>72.260000000000005</v>
      </c>
      <c r="AP27" s="2">
        <v>79.569999999999993</v>
      </c>
      <c r="AQ27" s="2">
        <v>78.87</v>
      </c>
      <c r="AR27" s="2">
        <v>71.08</v>
      </c>
      <c r="AS27" s="2">
        <v>79.58</v>
      </c>
      <c r="AT27" s="2">
        <v>74.36</v>
      </c>
      <c r="AU27" s="2">
        <v>74</v>
      </c>
      <c r="AV27" s="2">
        <v>77.52</v>
      </c>
      <c r="AW27" s="2">
        <v>75.34</v>
      </c>
      <c r="AX27" s="2">
        <v>77.08</v>
      </c>
      <c r="AY27" s="2">
        <v>82.73</v>
      </c>
      <c r="AZ27" s="2">
        <v>78.209999999999994</v>
      </c>
      <c r="BA27" s="2">
        <v>73.25</v>
      </c>
      <c r="BB27" s="2">
        <v>73.17</v>
      </c>
      <c r="BC27" s="2">
        <v>78.87</v>
      </c>
      <c r="BD27" s="2">
        <v>79.88</v>
      </c>
      <c r="BE27" s="2">
        <v>78.5</v>
      </c>
      <c r="BF27" s="2">
        <v>75.73</v>
      </c>
      <c r="BG27" s="2">
        <v>82</v>
      </c>
      <c r="BH27" s="2">
        <v>77.77</v>
      </c>
      <c r="BI27" s="2">
        <v>76.430000000000007</v>
      </c>
      <c r="BJ27" s="2">
        <v>80.510000000000005</v>
      </c>
      <c r="BK27" s="2">
        <v>74.040000000000006</v>
      </c>
      <c r="BL27" s="2">
        <v>72.42</v>
      </c>
      <c r="BM27" s="2">
        <v>77.55</v>
      </c>
      <c r="BN27" s="2">
        <v>71.790000000000006</v>
      </c>
      <c r="BO27" s="2">
        <v>75.709999999999994</v>
      </c>
      <c r="BP27" s="2">
        <v>81.05</v>
      </c>
      <c r="BQ27" s="2">
        <v>73.02</v>
      </c>
      <c r="BR27" s="2">
        <v>77.52</v>
      </c>
      <c r="BS27" s="2">
        <v>79.67</v>
      </c>
      <c r="BT27" s="2">
        <v>81.94</v>
      </c>
      <c r="BU27" s="2">
        <v>83.27</v>
      </c>
      <c r="BV27" s="2">
        <v>72.12</v>
      </c>
      <c r="BW27" s="2">
        <v>76.05</v>
      </c>
      <c r="BX27" s="2">
        <v>75.69</v>
      </c>
      <c r="BY27" s="2">
        <v>81.14</v>
      </c>
      <c r="BZ27" s="2">
        <v>77.66</v>
      </c>
      <c r="CA27" s="2">
        <v>74.959999999999994</v>
      </c>
      <c r="CB27" s="2">
        <v>78.239999999999995</v>
      </c>
      <c r="CC27" s="2">
        <v>81.86</v>
      </c>
      <c r="CD27" s="2">
        <v>76.89</v>
      </c>
      <c r="CE27" s="2">
        <v>77.56</v>
      </c>
      <c r="CF27" s="2">
        <v>68.78</v>
      </c>
      <c r="CG27" s="2">
        <v>78.5</v>
      </c>
      <c r="CH27" s="2">
        <v>77.08</v>
      </c>
      <c r="CI27" s="2">
        <v>77.09</v>
      </c>
      <c r="CJ27" s="2">
        <v>81.650000000000006</v>
      </c>
      <c r="CK27" s="2">
        <v>75.510000000000005</v>
      </c>
      <c r="CL27" s="2">
        <v>75.150000000000006</v>
      </c>
      <c r="CM27" s="2">
        <v>79.14</v>
      </c>
      <c r="CN27" s="2">
        <v>75.319999999999993</v>
      </c>
      <c r="CO27" s="2">
        <v>76.66</v>
      </c>
      <c r="CP27" s="2">
        <v>75.27</v>
      </c>
      <c r="CQ27" s="2">
        <v>69.569999999999993</v>
      </c>
      <c r="CR27" s="2">
        <v>79.81</v>
      </c>
      <c r="CS27" s="2">
        <v>83.46</v>
      </c>
      <c r="CT27" s="2">
        <v>75.73</v>
      </c>
      <c r="CU27" s="2">
        <v>79.05</v>
      </c>
      <c r="CV27" s="2">
        <v>76.91</v>
      </c>
      <c r="CW27" s="2">
        <v>75.760000000000005</v>
      </c>
      <c r="CX27" s="2">
        <f t="shared" si="0"/>
        <v>76.962700000000027</v>
      </c>
    </row>
    <row r="28" spans="1:102" x14ac:dyDescent="0.2">
      <c r="A28" s="3" t="s">
        <v>145</v>
      </c>
      <c r="B28" s="2">
        <v>78.8</v>
      </c>
      <c r="C28" s="2">
        <v>71.31</v>
      </c>
      <c r="D28" s="2">
        <v>71.900000000000006</v>
      </c>
      <c r="E28" s="2">
        <v>74.56</v>
      </c>
      <c r="F28" s="2">
        <v>73.489999999999995</v>
      </c>
      <c r="G28" s="2">
        <v>77.86</v>
      </c>
      <c r="H28" s="2">
        <v>78.489999999999995</v>
      </c>
      <c r="I28" s="2">
        <v>76.7</v>
      </c>
      <c r="J28" s="2">
        <v>80.03</v>
      </c>
      <c r="K28" s="2">
        <v>79.73</v>
      </c>
      <c r="L28" s="2">
        <v>77.61</v>
      </c>
      <c r="M28" s="2">
        <v>72.239999999999995</v>
      </c>
      <c r="N28" s="2">
        <v>78.989999999999995</v>
      </c>
      <c r="O28" s="2">
        <v>77.48</v>
      </c>
      <c r="P28" s="2">
        <v>79.760000000000005</v>
      </c>
      <c r="Q28" s="2">
        <v>72.34</v>
      </c>
      <c r="R28" s="2">
        <v>79.489999999999995</v>
      </c>
      <c r="S28" s="2">
        <v>77.02</v>
      </c>
      <c r="T28" s="2">
        <v>72.8</v>
      </c>
      <c r="U28" s="2">
        <v>76</v>
      </c>
      <c r="V28" s="2">
        <v>74.72</v>
      </c>
      <c r="W28" s="2">
        <v>76.260000000000005</v>
      </c>
      <c r="X28" s="2">
        <v>73.099999999999994</v>
      </c>
      <c r="Y28" s="2">
        <v>80.56</v>
      </c>
      <c r="Z28" s="2">
        <v>75.790000000000006</v>
      </c>
      <c r="AA28" s="2">
        <v>76.88</v>
      </c>
      <c r="AB28" s="2">
        <v>79.19</v>
      </c>
      <c r="AC28" s="2">
        <v>80.88</v>
      </c>
      <c r="AD28" s="2">
        <v>75.3</v>
      </c>
      <c r="AE28" s="2">
        <v>72.98</v>
      </c>
      <c r="AF28" s="2">
        <v>80.89</v>
      </c>
      <c r="AG28" s="2">
        <v>77.58</v>
      </c>
      <c r="AH28" s="2">
        <v>76.45</v>
      </c>
      <c r="AI28" s="2">
        <v>76.75</v>
      </c>
      <c r="AJ28" s="2">
        <v>79.03</v>
      </c>
      <c r="AK28" s="2">
        <v>75.739999999999995</v>
      </c>
      <c r="AL28" s="2">
        <v>75.510000000000005</v>
      </c>
      <c r="AM28" s="2">
        <v>76.459999999999994</v>
      </c>
      <c r="AN28" s="2">
        <v>79.62</v>
      </c>
      <c r="AO28" s="2">
        <v>76.02</v>
      </c>
      <c r="AP28" s="2">
        <v>77.45</v>
      </c>
      <c r="AQ28" s="2">
        <v>72.56</v>
      </c>
      <c r="AR28" s="2">
        <v>79.28</v>
      </c>
      <c r="AS28" s="2">
        <v>80.86</v>
      </c>
      <c r="AT28" s="2">
        <v>78.349999999999994</v>
      </c>
      <c r="AU28" s="2">
        <v>76.11</v>
      </c>
      <c r="AV28" s="2">
        <v>79.28</v>
      </c>
      <c r="AW28" s="2">
        <v>81.680000000000007</v>
      </c>
      <c r="AX28" s="2">
        <v>80.16</v>
      </c>
      <c r="AY28" s="2">
        <v>79.510000000000005</v>
      </c>
      <c r="AZ28" s="2">
        <v>77.97</v>
      </c>
      <c r="BA28" s="2">
        <v>77.510000000000005</v>
      </c>
      <c r="BB28" s="2">
        <v>71.38</v>
      </c>
      <c r="BC28" s="2">
        <v>77.290000000000006</v>
      </c>
      <c r="BD28" s="2">
        <v>71.900000000000006</v>
      </c>
      <c r="BE28" s="2">
        <v>78.2</v>
      </c>
      <c r="BF28" s="2">
        <v>68.959999999999994</v>
      </c>
      <c r="BG28" s="2">
        <v>80.12</v>
      </c>
      <c r="BH28" s="2">
        <v>80.92</v>
      </c>
      <c r="BI28" s="2">
        <v>80.239999999999995</v>
      </c>
      <c r="BJ28" s="2">
        <v>79.06</v>
      </c>
      <c r="BK28" s="2">
        <v>75.260000000000005</v>
      </c>
      <c r="BL28" s="2">
        <v>72.7</v>
      </c>
      <c r="BM28" s="2">
        <v>77.84</v>
      </c>
      <c r="BN28" s="2">
        <v>74.790000000000006</v>
      </c>
      <c r="BO28" s="2">
        <v>74.73</v>
      </c>
      <c r="BP28" s="2">
        <v>85.17</v>
      </c>
      <c r="BQ28" s="2">
        <v>79.739999999999995</v>
      </c>
      <c r="BR28" s="2">
        <v>79.88</v>
      </c>
      <c r="BS28" s="2">
        <v>76.430000000000007</v>
      </c>
      <c r="BT28" s="2">
        <v>80.05</v>
      </c>
      <c r="BU28" s="2">
        <v>80.040000000000006</v>
      </c>
      <c r="BV28" s="2">
        <v>74.83</v>
      </c>
      <c r="BW28" s="2">
        <v>75.05</v>
      </c>
      <c r="BX28" s="2">
        <v>77.930000000000007</v>
      </c>
      <c r="BY28" s="2">
        <v>84.86</v>
      </c>
      <c r="BZ28" s="2">
        <v>71.930000000000007</v>
      </c>
      <c r="CA28" s="2">
        <v>75.8</v>
      </c>
      <c r="CB28" s="2">
        <v>79.08</v>
      </c>
      <c r="CC28" s="2">
        <v>80.709999999999994</v>
      </c>
      <c r="CD28" s="2">
        <v>77.16</v>
      </c>
      <c r="CE28" s="2">
        <v>80.45</v>
      </c>
      <c r="CF28" s="2">
        <v>74.75</v>
      </c>
      <c r="CG28" s="2">
        <v>80.16</v>
      </c>
      <c r="CH28" s="2">
        <v>77.52</v>
      </c>
      <c r="CI28" s="2">
        <v>76.33</v>
      </c>
      <c r="CJ28" s="2">
        <v>80.709999999999994</v>
      </c>
      <c r="CK28" s="2">
        <v>76.87</v>
      </c>
      <c r="CL28" s="2">
        <v>75.5</v>
      </c>
      <c r="CM28" s="2">
        <v>84.69</v>
      </c>
      <c r="CN28" s="2">
        <v>80.98</v>
      </c>
      <c r="CO28" s="2">
        <v>75.52</v>
      </c>
      <c r="CP28" s="2">
        <v>75.959999999999994</v>
      </c>
      <c r="CQ28" s="2">
        <v>71.52</v>
      </c>
      <c r="CR28" s="2">
        <v>80.27</v>
      </c>
      <c r="CS28" s="2">
        <v>84.43</v>
      </c>
      <c r="CT28" s="2">
        <v>79.47</v>
      </c>
      <c r="CU28" s="2">
        <v>80.25</v>
      </c>
      <c r="CV28" s="2">
        <v>79.97</v>
      </c>
      <c r="CW28" s="2">
        <v>73.64</v>
      </c>
      <c r="CX28" s="2">
        <f t="shared" si="0"/>
        <v>77.380700000000019</v>
      </c>
    </row>
    <row r="29" spans="1:102" x14ac:dyDescent="0.2">
      <c r="A29" s="3" t="s">
        <v>146</v>
      </c>
      <c r="B29" s="2">
        <v>78.73</v>
      </c>
      <c r="C29" s="2">
        <v>74.62</v>
      </c>
      <c r="D29" s="2">
        <v>76.08</v>
      </c>
      <c r="E29" s="2">
        <v>74.94</v>
      </c>
      <c r="F29" s="2">
        <v>72.47</v>
      </c>
      <c r="G29" s="2">
        <v>76.930000000000007</v>
      </c>
      <c r="H29" s="2">
        <v>81.75</v>
      </c>
      <c r="I29" s="2">
        <v>77.28</v>
      </c>
      <c r="J29" s="2">
        <v>74.7</v>
      </c>
      <c r="K29" s="2">
        <v>81.52</v>
      </c>
      <c r="L29" s="2">
        <v>77.13</v>
      </c>
      <c r="M29" s="2">
        <v>79.209999999999994</v>
      </c>
      <c r="N29" s="2">
        <v>77.180000000000007</v>
      </c>
      <c r="O29" s="2">
        <v>77.56</v>
      </c>
      <c r="P29" s="2">
        <v>83.66</v>
      </c>
      <c r="Q29" s="2">
        <v>71.03</v>
      </c>
      <c r="R29" s="2">
        <v>78.069999999999993</v>
      </c>
      <c r="S29" s="2">
        <v>77.86</v>
      </c>
      <c r="T29" s="2">
        <v>74.94</v>
      </c>
      <c r="U29" s="2">
        <v>80.739999999999995</v>
      </c>
      <c r="V29" s="2">
        <v>72.08</v>
      </c>
      <c r="W29" s="2">
        <v>77.5</v>
      </c>
      <c r="X29" s="2">
        <v>78.62</v>
      </c>
      <c r="Y29" s="2">
        <v>78.73</v>
      </c>
      <c r="Z29" s="2">
        <v>78.53</v>
      </c>
      <c r="AA29" s="2">
        <v>79.2</v>
      </c>
      <c r="AB29" s="2">
        <v>73.77</v>
      </c>
      <c r="AC29" s="2">
        <v>80.63</v>
      </c>
      <c r="AD29" s="2">
        <v>74.53</v>
      </c>
      <c r="AE29" s="2">
        <v>79.84</v>
      </c>
      <c r="AF29" s="2">
        <v>75.239999999999995</v>
      </c>
      <c r="AG29" s="2">
        <v>78.42</v>
      </c>
      <c r="AH29" s="2">
        <v>78.150000000000006</v>
      </c>
      <c r="AI29" s="2">
        <v>82.89</v>
      </c>
      <c r="AJ29" s="2">
        <v>77.48</v>
      </c>
      <c r="AK29" s="2">
        <v>76.67</v>
      </c>
      <c r="AL29" s="2">
        <v>79.680000000000007</v>
      </c>
      <c r="AM29" s="2">
        <v>74.81</v>
      </c>
      <c r="AN29" s="2">
        <v>75</v>
      </c>
      <c r="AO29" s="2">
        <v>75.23</v>
      </c>
      <c r="AP29" s="2">
        <v>83.97</v>
      </c>
      <c r="AQ29" s="2">
        <v>78.02</v>
      </c>
      <c r="AR29" s="2">
        <v>77.2</v>
      </c>
      <c r="AS29" s="2">
        <v>83.16</v>
      </c>
      <c r="AT29" s="2">
        <v>76.63</v>
      </c>
      <c r="AU29" s="2">
        <v>81.61</v>
      </c>
      <c r="AV29" s="2">
        <v>76.31</v>
      </c>
      <c r="AW29" s="2">
        <v>72.489999999999995</v>
      </c>
      <c r="AX29" s="2">
        <v>85.13</v>
      </c>
      <c r="AY29" s="2">
        <v>74.400000000000006</v>
      </c>
      <c r="AZ29" s="2">
        <v>78.319999999999993</v>
      </c>
      <c r="BA29" s="2">
        <v>73.44</v>
      </c>
      <c r="BB29" s="2">
        <v>73.099999999999994</v>
      </c>
      <c r="BC29" s="2">
        <v>79.47</v>
      </c>
      <c r="BD29" s="2">
        <v>75.430000000000007</v>
      </c>
      <c r="BE29" s="2">
        <v>75.900000000000006</v>
      </c>
      <c r="BF29" s="2">
        <v>76.099999999999994</v>
      </c>
      <c r="BG29" s="2">
        <v>82.89</v>
      </c>
      <c r="BH29" s="2">
        <v>81.75</v>
      </c>
      <c r="BI29" s="2">
        <v>80.64</v>
      </c>
      <c r="BJ29" s="2">
        <v>84.26</v>
      </c>
      <c r="BK29" s="2">
        <v>79.14</v>
      </c>
      <c r="BL29" s="2">
        <v>73.77</v>
      </c>
      <c r="BM29" s="2">
        <v>81.08</v>
      </c>
      <c r="BN29" s="2">
        <v>76.2</v>
      </c>
      <c r="BO29" s="2">
        <v>72.17</v>
      </c>
      <c r="BP29" s="2">
        <v>88.09</v>
      </c>
      <c r="BQ29" s="2">
        <v>77.739999999999995</v>
      </c>
      <c r="BR29" s="2">
        <v>77.48</v>
      </c>
      <c r="BS29" s="2">
        <v>73.67</v>
      </c>
      <c r="BT29" s="2">
        <v>78.760000000000005</v>
      </c>
      <c r="BU29" s="2">
        <v>74.45</v>
      </c>
      <c r="BV29" s="2">
        <v>78.8</v>
      </c>
      <c r="BW29" s="2">
        <v>74.78</v>
      </c>
      <c r="BX29" s="2">
        <v>78.62</v>
      </c>
      <c r="BY29" s="2">
        <v>79.790000000000006</v>
      </c>
      <c r="BZ29" s="2">
        <v>68.53</v>
      </c>
      <c r="CA29" s="2">
        <v>80.13</v>
      </c>
      <c r="CB29" s="2">
        <v>80.7</v>
      </c>
      <c r="CC29" s="2">
        <v>79.81</v>
      </c>
      <c r="CD29" s="2">
        <v>77.959999999999994</v>
      </c>
      <c r="CE29" s="2">
        <v>72.64</v>
      </c>
      <c r="CF29" s="2">
        <v>75.37</v>
      </c>
      <c r="CG29" s="2">
        <v>81.66</v>
      </c>
      <c r="CH29" s="2">
        <v>82.08</v>
      </c>
      <c r="CI29" s="2">
        <v>78.87</v>
      </c>
      <c r="CJ29" s="2">
        <v>78.89</v>
      </c>
      <c r="CK29" s="2">
        <v>78.87</v>
      </c>
      <c r="CL29" s="2">
        <v>80.38</v>
      </c>
      <c r="CM29" s="2">
        <v>83.69</v>
      </c>
      <c r="CN29" s="2">
        <v>81.09</v>
      </c>
      <c r="CO29" s="2">
        <v>77.69</v>
      </c>
      <c r="CP29" s="2">
        <v>73.02</v>
      </c>
      <c r="CQ29" s="2">
        <v>74.09</v>
      </c>
      <c r="CR29" s="2">
        <v>77.89</v>
      </c>
      <c r="CS29" s="2">
        <v>84.03</v>
      </c>
      <c r="CT29" s="2">
        <v>81.94</v>
      </c>
      <c r="CU29" s="2">
        <v>74.08</v>
      </c>
      <c r="CV29" s="2">
        <v>77.53</v>
      </c>
      <c r="CW29" s="2">
        <v>75.41</v>
      </c>
      <c r="CX29" s="2">
        <f t="shared" si="0"/>
        <v>77.845100000000016</v>
      </c>
    </row>
    <row r="30" spans="1:102" x14ac:dyDescent="0.2">
      <c r="A30" s="3" t="s">
        <v>147</v>
      </c>
      <c r="B30" s="2">
        <v>79.67</v>
      </c>
      <c r="C30" s="2">
        <v>80.290000000000006</v>
      </c>
      <c r="D30" s="2">
        <v>77.790000000000006</v>
      </c>
      <c r="E30" s="2">
        <v>74.44</v>
      </c>
      <c r="F30" s="2">
        <v>75.23</v>
      </c>
      <c r="G30" s="2">
        <v>78.849999999999994</v>
      </c>
      <c r="H30" s="2">
        <v>79.3</v>
      </c>
      <c r="I30" s="2">
        <v>70.16</v>
      </c>
      <c r="J30" s="2">
        <v>77.13</v>
      </c>
      <c r="K30" s="2">
        <v>82.39</v>
      </c>
      <c r="L30" s="2">
        <v>76.95</v>
      </c>
      <c r="M30" s="2">
        <v>73.959999999999994</v>
      </c>
      <c r="N30" s="2">
        <v>77.86</v>
      </c>
      <c r="O30" s="2">
        <v>74</v>
      </c>
      <c r="P30" s="2">
        <v>82.14</v>
      </c>
      <c r="Q30" s="2">
        <v>70.09</v>
      </c>
      <c r="R30" s="2">
        <v>77.84</v>
      </c>
      <c r="S30" s="2">
        <v>77.67</v>
      </c>
      <c r="T30" s="2">
        <v>75.650000000000006</v>
      </c>
      <c r="U30" s="2">
        <v>81.94</v>
      </c>
      <c r="V30" s="2">
        <v>68.989999999999995</v>
      </c>
      <c r="W30" s="2">
        <v>81.27</v>
      </c>
      <c r="X30" s="2">
        <v>79.78</v>
      </c>
      <c r="Y30" s="2">
        <v>72.45</v>
      </c>
      <c r="Z30" s="2">
        <v>71.44</v>
      </c>
      <c r="AA30" s="2">
        <v>78.02</v>
      </c>
      <c r="AB30" s="2">
        <v>78.489999999999995</v>
      </c>
      <c r="AC30" s="2">
        <v>78.67</v>
      </c>
      <c r="AD30" s="2">
        <v>74.14</v>
      </c>
      <c r="AE30" s="2">
        <v>77.92</v>
      </c>
      <c r="AF30" s="2">
        <v>74.180000000000007</v>
      </c>
      <c r="AG30" s="2">
        <v>81.63</v>
      </c>
      <c r="AH30" s="2">
        <v>73.319999999999993</v>
      </c>
      <c r="AI30" s="2">
        <v>84.41</v>
      </c>
      <c r="AJ30" s="2">
        <v>78.17</v>
      </c>
      <c r="AK30" s="2">
        <v>68.77</v>
      </c>
      <c r="AL30" s="2">
        <v>80.66</v>
      </c>
      <c r="AM30" s="2">
        <v>75.58</v>
      </c>
      <c r="AN30" s="2">
        <v>73.349999999999994</v>
      </c>
      <c r="AO30" s="2">
        <v>78.41</v>
      </c>
      <c r="AP30" s="2">
        <v>78.7</v>
      </c>
      <c r="AQ30" s="2">
        <v>76.680000000000007</v>
      </c>
      <c r="AR30" s="2">
        <v>76.33</v>
      </c>
      <c r="AS30" s="2">
        <v>80.39</v>
      </c>
      <c r="AT30" s="2">
        <v>71.98</v>
      </c>
      <c r="AU30" s="2">
        <v>81.84</v>
      </c>
      <c r="AV30" s="2">
        <v>75.25</v>
      </c>
      <c r="AW30" s="2">
        <v>77.11</v>
      </c>
      <c r="AX30" s="2">
        <v>80.5</v>
      </c>
      <c r="AY30" s="2">
        <v>69.98</v>
      </c>
      <c r="AZ30" s="2">
        <v>80.010000000000005</v>
      </c>
      <c r="BA30" s="2">
        <v>80.02</v>
      </c>
      <c r="BB30" s="2">
        <v>76.790000000000006</v>
      </c>
      <c r="BC30" s="2">
        <v>79.11</v>
      </c>
      <c r="BD30" s="2">
        <v>76.8</v>
      </c>
      <c r="BE30" s="2">
        <v>71.72</v>
      </c>
      <c r="BF30" s="2">
        <v>75.52</v>
      </c>
      <c r="BG30" s="2">
        <v>82.41</v>
      </c>
      <c r="BH30" s="2">
        <v>81.64</v>
      </c>
      <c r="BI30" s="2">
        <v>76.81</v>
      </c>
      <c r="BJ30" s="2">
        <v>82.71</v>
      </c>
      <c r="BK30" s="2">
        <v>76.08</v>
      </c>
      <c r="BL30" s="2">
        <v>77.16</v>
      </c>
      <c r="BM30" s="2">
        <v>80</v>
      </c>
      <c r="BN30" s="2">
        <v>75.02</v>
      </c>
      <c r="BO30" s="2">
        <v>73.61</v>
      </c>
      <c r="BP30" s="2">
        <v>83.72</v>
      </c>
      <c r="BQ30" s="2">
        <v>80.290000000000006</v>
      </c>
      <c r="BR30" s="2">
        <v>77.41</v>
      </c>
      <c r="BS30" s="2">
        <v>75.58</v>
      </c>
      <c r="BT30" s="2">
        <v>74.77</v>
      </c>
      <c r="BU30" s="2">
        <v>79.91</v>
      </c>
      <c r="BV30" s="2">
        <v>79.97</v>
      </c>
      <c r="BW30" s="2">
        <v>77.760000000000005</v>
      </c>
      <c r="BX30" s="2">
        <v>77.13</v>
      </c>
      <c r="BY30" s="2">
        <v>74.84</v>
      </c>
      <c r="BZ30" s="2">
        <v>69.430000000000007</v>
      </c>
      <c r="CA30" s="2">
        <v>76.64</v>
      </c>
      <c r="CB30" s="2">
        <v>81.95</v>
      </c>
      <c r="CC30" s="2">
        <v>78.88</v>
      </c>
      <c r="CD30" s="2">
        <v>80.7</v>
      </c>
      <c r="CE30" s="2">
        <v>77.61</v>
      </c>
      <c r="CF30" s="2">
        <v>81.53</v>
      </c>
      <c r="CG30" s="2">
        <v>76.459999999999994</v>
      </c>
      <c r="CH30" s="2">
        <v>83.06</v>
      </c>
      <c r="CI30" s="2">
        <v>76.91</v>
      </c>
      <c r="CJ30" s="2">
        <v>80.349999999999994</v>
      </c>
      <c r="CK30" s="2">
        <v>74.819999999999993</v>
      </c>
      <c r="CL30" s="2">
        <v>78.790000000000006</v>
      </c>
      <c r="CM30" s="2">
        <v>79.38</v>
      </c>
      <c r="CN30" s="2">
        <v>75.7</v>
      </c>
      <c r="CO30" s="2">
        <v>74.23</v>
      </c>
      <c r="CP30" s="2">
        <v>77.39</v>
      </c>
      <c r="CQ30" s="2">
        <v>75.11</v>
      </c>
      <c r="CR30" s="2">
        <v>79.59</v>
      </c>
      <c r="CS30" s="2">
        <v>77.959999999999994</v>
      </c>
      <c r="CT30" s="2">
        <v>81.08</v>
      </c>
      <c r="CU30" s="2">
        <v>72.59</v>
      </c>
      <c r="CV30" s="2">
        <v>77.75</v>
      </c>
      <c r="CW30" s="2">
        <v>78.16</v>
      </c>
      <c r="CX30" s="2">
        <f t="shared" si="0"/>
        <v>77.34620000000001</v>
      </c>
    </row>
    <row r="31" spans="1:102" x14ac:dyDescent="0.2">
      <c r="A31" s="3" t="s">
        <v>148</v>
      </c>
      <c r="B31" s="2">
        <v>78.56</v>
      </c>
      <c r="C31" s="2">
        <v>80.5</v>
      </c>
      <c r="D31" s="2">
        <v>77.150000000000006</v>
      </c>
      <c r="E31" s="2">
        <v>76.44</v>
      </c>
      <c r="F31" s="2">
        <v>74.89</v>
      </c>
      <c r="G31" s="2">
        <v>78.62</v>
      </c>
      <c r="H31" s="2">
        <v>74.77</v>
      </c>
      <c r="I31" s="2">
        <v>74.489999999999995</v>
      </c>
      <c r="J31" s="2">
        <v>74.25</v>
      </c>
      <c r="K31" s="2">
        <v>75.41</v>
      </c>
      <c r="L31" s="2">
        <v>77.59</v>
      </c>
      <c r="M31" s="2">
        <v>77.680000000000007</v>
      </c>
      <c r="N31" s="2">
        <v>74.84</v>
      </c>
      <c r="O31" s="2">
        <v>76.150000000000006</v>
      </c>
      <c r="P31" s="2">
        <v>75.47</v>
      </c>
      <c r="Q31" s="2">
        <v>75.05</v>
      </c>
      <c r="R31" s="2">
        <v>73.89</v>
      </c>
      <c r="S31" s="2">
        <v>78.150000000000006</v>
      </c>
      <c r="T31" s="2">
        <v>75</v>
      </c>
      <c r="U31" s="2">
        <v>77.19</v>
      </c>
      <c r="V31" s="2">
        <v>72.67</v>
      </c>
      <c r="W31" s="2">
        <v>75.12</v>
      </c>
      <c r="X31" s="2">
        <v>78.099999999999994</v>
      </c>
      <c r="Y31" s="2">
        <v>71.13</v>
      </c>
      <c r="Z31" s="2">
        <v>73.75</v>
      </c>
      <c r="AA31" s="2">
        <v>78.63</v>
      </c>
      <c r="AB31" s="2">
        <v>77.95</v>
      </c>
      <c r="AC31" s="2">
        <v>70.48</v>
      </c>
      <c r="AD31" s="2">
        <v>77.45</v>
      </c>
      <c r="AE31" s="2">
        <v>75.989999999999995</v>
      </c>
      <c r="AF31" s="2">
        <v>72.52</v>
      </c>
      <c r="AG31" s="2">
        <v>79.569999999999993</v>
      </c>
      <c r="AH31" s="2">
        <v>73.83</v>
      </c>
      <c r="AI31" s="2">
        <v>82.22</v>
      </c>
      <c r="AJ31" s="2">
        <v>76.73</v>
      </c>
      <c r="AK31" s="2">
        <v>76.14</v>
      </c>
      <c r="AL31" s="2">
        <v>74.58</v>
      </c>
      <c r="AM31" s="2">
        <v>75.94</v>
      </c>
      <c r="AN31" s="2">
        <v>80.2</v>
      </c>
      <c r="AO31" s="2">
        <v>80.61</v>
      </c>
      <c r="AP31" s="2">
        <v>79.97</v>
      </c>
      <c r="AQ31" s="2">
        <v>76.52</v>
      </c>
      <c r="AR31" s="2">
        <v>80.010000000000005</v>
      </c>
      <c r="AS31" s="2">
        <v>77.05</v>
      </c>
      <c r="AT31" s="2">
        <v>71.83</v>
      </c>
      <c r="AU31" s="2">
        <v>82.37</v>
      </c>
      <c r="AV31" s="2">
        <v>74.02</v>
      </c>
      <c r="AW31" s="2">
        <v>77.13</v>
      </c>
      <c r="AX31" s="2">
        <v>75.58</v>
      </c>
      <c r="AY31" s="2">
        <v>71.55</v>
      </c>
      <c r="AZ31" s="2">
        <v>78.22</v>
      </c>
      <c r="BA31" s="2">
        <v>81.599999999999994</v>
      </c>
      <c r="BB31" s="2">
        <v>75.2</v>
      </c>
      <c r="BC31" s="2">
        <v>76.680000000000007</v>
      </c>
      <c r="BD31" s="2">
        <v>76.89</v>
      </c>
      <c r="BE31" s="2">
        <v>75.69</v>
      </c>
      <c r="BF31" s="2">
        <v>80.52</v>
      </c>
      <c r="BG31" s="2">
        <v>79.06</v>
      </c>
      <c r="BH31" s="2">
        <v>79.540000000000006</v>
      </c>
      <c r="BI31" s="2">
        <v>77.63</v>
      </c>
      <c r="BJ31" s="2">
        <v>78.97</v>
      </c>
      <c r="BK31" s="2">
        <v>74.94</v>
      </c>
      <c r="BL31" s="2">
        <v>77.2</v>
      </c>
      <c r="BM31" s="2">
        <v>78.709999999999994</v>
      </c>
      <c r="BN31" s="2">
        <v>79.680000000000007</v>
      </c>
      <c r="BO31" s="2">
        <v>69.849999999999994</v>
      </c>
      <c r="BP31" s="2">
        <v>76.75</v>
      </c>
      <c r="BQ31" s="2">
        <v>77.63</v>
      </c>
      <c r="BR31" s="2">
        <v>78.86</v>
      </c>
      <c r="BS31" s="2">
        <v>77.430000000000007</v>
      </c>
      <c r="BT31" s="2">
        <v>76.2</v>
      </c>
      <c r="BU31" s="2">
        <v>79.86</v>
      </c>
      <c r="BV31" s="2">
        <v>78.900000000000006</v>
      </c>
      <c r="BW31" s="2">
        <v>79.739999999999995</v>
      </c>
      <c r="BX31" s="2">
        <v>72.33</v>
      </c>
      <c r="BY31" s="2">
        <v>78.7</v>
      </c>
      <c r="BZ31" s="2">
        <v>70.489999999999995</v>
      </c>
      <c r="CA31" s="2">
        <v>79.94</v>
      </c>
      <c r="CB31" s="2">
        <v>76.81</v>
      </c>
      <c r="CC31" s="2">
        <v>79.260000000000005</v>
      </c>
      <c r="CD31" s="2">
        <v>77.150000000000006</v>
      </c>
      <c r="CE31" s="2">
        <v>79.23</v>
      </c>
      <c r="CF31" s="2">
        <v>81.28</v>
      </c>
      <c r="CG31" s="2">
        <v>74.7</v>
      </c>
      <c r="CH31" s="2">
        <v>78.84</v>
      </c>
      <c r="CI31" s="2">
        <v>78.23</v>
      </c>
      <c r="CJ31" s="2">
        <v>80.849999999999994</v>
      </c>
      <c r="CK31" s="2">
        <v>76.209999999999994</v>
      </c>
      <c r="CL31" s="2">
        <v>74.91</v>
      </c>
      <c r="CM31" s="2">
        <v>76.08</v>
      </c>
      <c r="CN31" s="2">
        <v>76.12</v>
      </c>
      <c r="CO31" s="2">
        <v>78.23</v>
      </c>
      <c r="CP31" s="2">
        <v>80.36</v>
      </c>
      <c r="CQ31" s="2">
        <v>73.400000000000006</v>
      </c>
      <c r="CR31" s="2">
        <v>76.260000000000005</v>
      </c>
      <c r="CS31" s="2">
        <v>73.02</v>
      </c>
      <c r="CT31" s="2">
        <v>78.760000000000005</v>
      </c>
      <c r="CU31" s="2">
        <v>71.209999999999994</v>
      </c>
      <c r="CV31" s="2">
        <v>76.400000000000006</v>
      </c>
      <c r="CW31" s="2">
        <v>81.22</v>
      </c>
      <c r="CX31" s="2">
        <f t="shared" si="0"/>
        <v>76.814699999999974</v>
      </c>
    </row>
    <row r="32" spans="1:102" x14ac:dyDescent="0.2">
      <c r="A32" s="3" t="s">
        <v>149</v>
      </c>
      <c r="B32" s="2">
        <v>79.23</v>
      </c>
      <c r="C32" s="2">
        <v>82.58</v>
      </c>
      <c r="D32" s="2">
        <v>72.25</v>
      </c>
      <c r="E32" s="2">
        <v>73.599999999999994</v>
      </c>
      <c r="F32" s="2">
        <v>73.33</v>
      </c>
      <c r="G32" s="2">
        <v>82.86</v>
      </c>
      <c r="H32" s="2">
        <v>78.540000000000006</v>
      </c>
      <c r="I32" s="2">
        <v>72.36</v>
      </c>
      <c r="J32" s="2">
        <v>78.290000000000006</v>
      </c>
      <c r="K32" s="2">
        <v>77.27</v>
      </c>
      <c r="L32" s="2">
        <v>77.84</v>
      </c>
      <c r="M32" s="2">
        <v>76.61</v>
      </c>
      <c r="N32" s="2">
        <v>78.430000000000007</v>
      </c>
      <c r="O32" s="2">
        <v>80.73</v>
      </c>
      <c r="P32" s="2">
        <v>79.239999999999995</v>
      </c>
      <c r="Q32" s="2">
        <v>74.790000000000006</v>
      </c>
      <c r="R32" s="2">
        <v>76.8</v>
      </c>
      <c r="S32" s="2">
        <v>78.17</v>
      </c>
      <c r="T32" s="2">
        <v>71.930000000000007</v>
      </c>
      <c r="U32" s="2">
        <v>74.11</v>
      </c>
      <c r="V32" s="2">
        <v>71.19</v>
      </c>
      <c r="W32" s="2">
        <v>73.75</v>
      </c>
      <c r="X32" s="2">
        <v>78.44</v>
      </c>
      <c r="Y32" s="2">
        <v>75.930000000000007</v>
      </c>
      <c r="Z32" s="2">
        <v>79.27</v>
      </c>
      <c r="AA32" s="2">
        <v>78.94</v>
      </c>
      <c r="AB32" s="2">
        <v>79.209999999999994</v>
      </c>
      <c r="AC32" s="2">
        <v>73.56</v>
      </c>
      <c r="AD32" s="2">
        <v>75.69</v>
      </c>
      <c r="AE32" s="2">
        <v>73.739999999999995</v>
      </c>
      <c r="AF32" s="2">
        <v>74.73</v>
      </c>
      <c r="AG32" s="2">
        <v>82.18</v>
      </c>
      <c r="AH32" s="2">
        <v>77.61</v>
      </c>
      <c r="AI32" s="2">
        <v>75.45</v>
      </c>
      <c r="AJ32" s="2">
        <v>80.959999999999994</v>
      </c>
      <c r="AK32" s="2">
        <v>80.94</v>
      </c>
      <c r="AL32" s="2">
        <v>75.739999999999995</v>
      </c>
      <c r="AM32" s="2">
        <v>77.510000000000005</v>
      </c>
      <c r="AN32" s="2">
        <v>76.87</v>
      </c>
      <c r="AO32" s="2">
        <v>80.98</v>
      </c>
      <c r="AP32" s="2">
        <v>80.34</v>
      </c>
      <c r="AQ32" s="2">
        <v>76.27</v>
      </c>
      <c r="AR32" s="2">
        <v>81.96</v>
      </c>
      <c r="AS32" s="2">
        <v>79.41</v>
      </c>
      <c r="AT32" s="2">
        <v>73.59</v>
      </c>
      <c r="AU32" s="2">
        <v>79.41</v>
      </c>
      <c r="AV32" s="2">
        <v>72.150000000000006</v>
      </c>
      <c r="AW32" s="2">
        <v>78.8</v>
      </c>
      <c r="AX32" s="2">
        <v>79.17</v>
      </c>
      <c r="AY32" s="2">
        <v>81.99</v>
      </c>
      <c r="AZ32" s="2">
        <v>79.31</v>
      </c>
      <c r="BA32" s="2">
        <v>79</v>
      </c>
      <c r="BB32" s="2">
        <v>73.64</v>
      </c>
      <c r="BC32" s="2">
        <v>80.760000000000005</v>
      </c>
      <c r="BD32" s="2">
        <v>77.37</v>
      </c>
      <c r="BE32" s="2">
        <v>77.14</v>
      </c>
      <c r="BF32" s="2">
        <v>83.15</v>
      </c>
      <c r="BG32" s="2">
        <v>75.45</v>
      </c>
      <c r="BH32" s="2">
        <v>75.37</v>
      </c>
      <c r="BI32" s="2">
        <v>81.3</v>
      </c>
      <c r="BJ32" s="2">
        <v>78.08</v>
      </c>
      <c r="BK32" s="2">
        <v>74.430000000000007</v>
      </c>
      <c r="BL32" s="2">
        <v>77.05</v>
      </c>
      <c r="BM32" s="2">
        <v>79.36</v>
      </c>
      <c r="BN32" s="2">
        <v>77.930000000000007</v>
      </c>
      <c r="BO32" s="2">
        <v>70.959999999999994</v>
      </c>
      <c r="BP32" s="2">
        <v>70.84</v>
      </c>
      <c r="BQ32" s="2">
        <v>71.569999999999993</v>
      </c>
      <c r="BR32" s="2">
        <v>78.08</v>
      </c>
      <c r="BS32" s="2">
        <v>77.739999999999995</v>
      </c>
      <c r="BT32" s="2">
        <v>76.319999999999993</v>
      </c>
      <c r="BU32" s="2">
        <v>76.400000000000006</v>
      </c>
      <c r="BV32" s="2">
        <v>77.09</v>
      </c>
      <c r="BW32" s="2">
        <v>77.19</v>
      </c>
      <c r="BX32" s="2">
        <v>74.98</v>
      </c>
      <c r="BY32" s="2">
        <v>81.16</v>
      </c>
      <c r="BZ32" s="2">
        <v>78.06</v>
      </c>
      <c r="CA32" s="2">
        <v>77.72</v>
      </c>
      <c r="CB32" s="2">
        <v>72.489999999999995</v>
      </c>
      <c r="CC32" s="2">
        <v>79.319999999999993</v>
      </c>
      <c r="CD32" s="2">
        <v>73.900000000000006</v>
      </c>
      <c r="CE32" s="2">
        <v>81.96</v>
      </c>
      <c r="CF32" s="2">
        <v>77.14</v>
      </c>
      <c r="CG32" s="2">
        <v>75.739999999999995</v>
      </c>
      <c r="CH32" s="2">
        <v>78.86</v>
      </c>
      <c r="CI32" s="2">
        <v>79.09</v>
      </c>
      <c r="CJ32" s="2">
        <v>78.09</v>
      </c>
      <c r="CK32" s="2">
        <v>79.36</v>
      </c>
      <c r="CL32" s="2">
        <v>76.040000000000006</v>
      </c>
      <c r="CM32" s="2">
        <v>80.61</v>
      </c>
      <c r="CN32" s="2">
        <v>79.03</v>
      </c>
      <c r="CO32" s="2">
        <v>72.650000000000006</v>
      </c>
      <c r="CP32" s="2">
        <v>76.31</v>
      </c>
      <c r="CQ32" s="2">
        <v>75.680000000000007</v>
      </c>
      <c r="CR32" s="2">
        <v>79.48</v>
      </c>
      <c r="CS32" s="2">
        <v>74.849999999999994</v>
      </c>
      <c r="CT32" s="2">
        <v>74.63</v>
      </c>
      <c r="CU32" s="2">
        <v>82.24</v>
      </c>
      <c r="CV32" s="2">
        <v>79.56</v>
      </c>
      <c r="CW32" s="2">
        <v>78.12</v>
      </c>
      <c r="CX32" s="2">
        <f t="shared" si="0"/>
        <v>77.273399999999981</v>
      </c>
    </row>
    <row r="33" spans="1:102" x14ac:dyDescent="0.2">
      <c r="A33" s="3" t="s">
        <v>150</v>
      </c>
      <c r="B33" s="2">
        <v>79.11</v>
      </c>
      <c r="C33" s="2">
        <v>78.989999999999995</v>
      </c>
      <c r="D33" s="2">
        <v>78.95</v>
      </c>
      <c r="E33" s="2">
        <v>74.459999999999994</v>
      </c>
      <c r="F33" s="2">
        <v>74.84</v>
      </c>
      <c r="G33" s="2">
        <v>78.16</v>
      </c>
      <c r="H33" s="2">
        <v>77.52</v>
      </c>
      <c r="I33" s="2">
        <v>76.08</v>
      </c>
      <c r="J33" s="2">
        <v>79.680000000000007</v>
      </c>
      <c r="K33" s="2">
        <v>77.790000000000006</v>
      </c>
      <c r="L33" s="2">
        <v>81.45</v>
      </c>
      <c r="M33" s="2">
        <v>77.349999999999994</v>
      </c>
      <c r="N33" s="2">
        <v>68.319999999999993</v>
      </c>
      <c r="O33" s="2">
        <v>85.61</v>
      </c>
      <c r="P33" s="2">
        <v>79.83</v>
      </c>
      <c r="Q33" s="2">
        <v>76.260000000000005</v>
      </c>
      <c r="R33" s="2">
        <v>76.03</v>
      </c>
      <c r="S33" s="2">
        <v>72.23</v>
      </c>
      <c r="T33" s="2">
        <v>74.97</v>
      </c>
      <c r="U33" s="2">
        <v>75.05</v>
      </c>
      <c r="V33" s="2">
        <v>78.48</v>
      </c>
      <c r="W33" s="2">
        <v>73.790000000000006</v>
      </c>
      <c r="X33" s="2">
        <v>76.37</v>
      </c>
      <c r="Y33" s="2">
        <v>77.650000000000006</v>
      </c>
      <c r="Z33" s="2">
        <v>72.69</v>
      </c>
      <c r="AA33" s="2">
        <v>79.77</v>
      </c>
      <c r="AB33" s="2">
        <v>82.55</v>
      </c>
      <c r="AC33" s="2">
        <v>77.92</v>
      </c>
      <c r="AD33" s="2">
        <v>76.39</v>
      </c>
      <c r="AE33" s="2">
        <v>73.290000000000006</v>
      </c>
      <c r="AF33" s="2">
        <v>77.260000000000005</v>
      </c>
      <c r="AG33" s="2">
        <v>80.599999999999994</v>
      </c>
      <c r="AH33" s="2">
        <v>79.12</v>
      </c>
      <c r="AI33" s="2">
        <v>77.52</v>
      </c>
      <c r="AJ33" s="2">
        <v>78.61</v>
      </c>
      <c r="AK33" s="2">
        <v>79.48</v>
      </c>
      <c r="AL33" s="2">
        <v>75.77</v>
      </c>
      <c r="AM33" s="2">
        <v>78.08</v>
      </c>
      <c r="AN33" s="2">
        <v>71.02</v>
      </c>
      <c r="AO33" s="2">
        <v>83.52</v>
      </c>
      <c r="AP33" s="2">
        <v>79.7</v>
      </c>
      <c r="AQ33" s="2">
        <v>76.22</v>
      </c>
      <c r="AR33" s="2">
        <v>80.48</v>
      </c>
      <c r="AS33" s="2">
        <v>73.55</v>
      </c>
      <c r="AT33" s="2">
        <v>75.37</v>
      </c>
      <c r="AU33" s="2">
        <v>75.77</v>
      </c>
      <c r="AV33" s="2">
        <v>76.12</v>
      </c>
      <c r="AW33" s="2">
        <v>85.68</v>
      </c>
      <c r="AX33" s="2">
        <v>75.760000000000005</v>
      </c>
      <c r="AY33" s="2">
        <v>82.08</v>
      </c>
      <c r="AZ33" s="2">
        <v>78.8</v>
      </c>
      <c r="BA33" s="2">
        <v>77.78</v>
      </c>
      <c r="BB33" s="2">
        <v>76.400000000000006</v>
      </c>
      <c r="BC33" s="2">
        <v>75.180000000000007</v>
      </c>
      <c r="BD33" s="2">
        <v>74.61</v>
      </c>
      <c r="BE33" s="2">
        <v>82.08</v>
      </c>
      <c r="BF33" s="2">
        <v>82.78</v>
      </c>
      <c r="BG33" s="2">
        <v>75.819999999999993</v>
      </c>
      <c r="BH33" s="2">
        <v>75.63</v>
      </c>
      <c r="BI33" s="2">
        <v>76.42</v>
      </c>
      <c r="BJ33" s="2">
        <v>78.760000000000005</v>
      </c>
      <c r="BK33" s="2">
        <v>75.28</v>
      </c>
      <c r="BL33" s="2">
        <v>76.33</v>
      </c>
      <c r="BM33" s="2">
        <v>75.7</v>
      </c>
      <c r="BN33" s="2">
        <v>77.28</v>
      </c>
      <c r="BO33" s="2">
        <v>74.010000000000005</v>
      </c>
      <c r="BP33" s="2">
        <v>74.510000000000005</v>
      </c>
      <c r="BQ33" s="2">
        <v>73.31</v>
      </c>
      <c r="BR33" s="2">
        <v>77.900000000000006</v>
      </c>
      <c r="BS33" s="2">
        <v>80.14</v>
      </c>
      <c r="BT33" s="2">
        <v>78.989999999999995</v>
      </c>
      <c r="BU33" s="2">
        <v>76.37</v>
      </c>
      <c r="BV33" s="2">
        <v>74.760000000000005</v>
      </c>
      <c r="BW33" s="2">
        <v>75.989999999999995</v>
      </c>
      <c r="BX33" s="2">
        <v>79.97</v>
      </c>
      <c r="BY33" s="2">
        <v>80.95</v>
      </c>
      <c r="BZ33" s="2">
        <v>76.86</v>
      </c>
      <c r="CA33" s="2">
        <v>74.37</v>
      </c>
      <c r="CB33" s="2">
        <v>78.150000000000006</v>
      </c>
      <c r="CC33" s="2">
        <v>79.53</v>
      </c>
      <c r="CD33" s="2">
        <v>72.39</v>
      </c>
      <c r="CE33" s="2">
        <v>79.55</v>
      </c>
      <c r="CF33" s="2">
        <v>77.13</v>
      </c>
      <c r="CG33" s="2">
        <v>73.349999999999994</v>
      </c>
      <c r="CH33" s="2">
        <v>76.849999999999994</v>
      </c>
      <c r="CI33" s="2">
        <v>79.14</v>
      </c>
      <c r="CJ33" s="2">
        <v>76.63</v>
      </c>
      <c r="CK33" s="2">
        <v>76.42</v>
      </c>
      <c r="CL33" s="2">
        <v>80.66</v>
      </c>
      <c r="CM33" s="2">
        <v>74.64</v>
      </c>
      <c r="CN33" s="2">
        <v>79.33</v>
      </c>
      <c r="CO33" s="2">
        <v>70.69</v>
      </c>
      <c r="CP33" s="2">
        <v>78.2</v>
      </c>
      <c r="CQ33" s="2">
        <v>79.94</v>
      </c>
      <c r="CR33" s="2">
        <v>85.11</v>
      </c>
      <c r="CS33" s="2">
        <v>73.819999999999993</v>
      </c>
      <c r="CT33" s="2">
        <v>79.599999999999994</v>
      </c>
      <c r="CU33" s="2">
        <v>79.75</v>
      </c>
      <c r="CV33" s="2">
        <v>75.84</v>
      </c>
      <c r="CW33" s="2">
        <v>73.59</v>
      </c>
      <c r="CX33" s="2">
        <f t="shared" si="0"/>
        <v>77.305799999999991</v>
      </c>
    </row>
    <row r="34" spans="1:102" x14ac:dyDescent="0.2">
      <c r="A34" s="3" t="s">
        <v>151</v>
      </c>
      <c r="B34" s="2">
        <v>75.38</v>
      </c>
      <c r="C34" s="2">
        <v>76.31</v>
      </c>
      <c r="D34" s="2">
        <v>77.34</v>
      </c>
      <c r="E34" s="2">
        <v>78.72</v>
      </c>
      <c r="F34" s="2">
        <v>73.94</v>
      </c>
      <c r="G34" s="2">
        <v>69.849999999999994</v>
      </c>
      <c r="H34" s="2">
        <v>77.77</v>
      </c>
      <c r="I34" s="2">
        <v>74.58</v>
      </c>
      <c r="J34" s="2">
        <v>81.510000000000005</v>
      </c>
      <c r="K34" s="2">
        <v>77.92</v>
      </c>
      <c r="L34" s="2">
        <v>80.150000000000006</v>
      </c>
      <c r="M34" s="2">
        <v>79.12</v>
      </c>
      <c r="N34" s="2">
        <v>76.900000000000006</v>
      </c>
      <c r="O34" s="2">
        <v>82.78</v>
      </c>
      <c r="P34" s="2">
        <v>80.790000000000006</v>
      </c>
      <c r="Q34" s="2">
        <v>75.650000000000006</v>
      </c>
      <c r="R34" s="2">
        <v>75.66</v>
      </c>
      <c r="S34" s="2">
        <v>72.45</v>
      </c>
      <c r="T34" s="2">
        <v>75.73</v>
      </c>
      <c r="U34" s="2">
        <v>75.22</v>
      </c>
      <c r="V34" s="2">
        <v>73.36</v>
      </c>
      <c r="W34" s="2">
        <v>68.569999999999993</v>
      </c>
      <c r="X34" s="2">
        <v>77.41</v>
      </c>
      <c r="Y34" s="2">
        <v>77.680000000000007</v>
      </c>
      <c r="Z34" s="2">
        <v>76.33</v>
      </c>
      <c r="AA34" s="2">
        <v>82.82</v>
      </c>
      <c r="AB34" s="2">
        <v>80.36</v>
      </c>
      <c r="AC34" s="2">
        <v>76.989999999999995</v>
      </c>
      <c r="AD34" s="2">
        <v>74</v>
      </c>
      <c r="AE34" s="2">
        <v>71.38</v>
      </c>
      <c r="AF34" s="2">
        <v>74.23</v>
      </c>
      <c r="AG34" s="2">
        <v>80.75</v>
      </c>
      <c r="AH34" s="2">
        <v>74.88</v>
      </c>
      <c r="AI34" s="2">
        <v>78.430000000000007</v>
      </c>
      <c r="AJ34" s="2">
        <v>79.349999999999994</v>
      </c>
      <c r="AK34" s="2">
        <v>75.09</v>
      </c>
      <c r="AL34" s="2">
        <v>78.95</v>
      </c>
      <c r="AM34" s="2">
        <v>78.37</v>
      </c>
      <c r="AN34" s="2">
        <v>83.68</v>
      </c>
      <c r="AO34" s="2">
        <v>79.430000000000007</v>
      </c>
      <c r="AP34" s="2">
        <v>76.400000000000006</v>
      </c>
      <c r="AQ34" s="2">
        <v>81.489999999999995</v>
      </c>
      <c r="AR34" s="2">
        <v>75.14</v>
      </c>
      <c r="AS34" s="2">
        <v>74.760000000000005</v>
      </c>
      <c r="AT34" s="2">
        <v>76.290000000000006</v>
      </c>
      <c r="AU34" s="2">
        <v>75.58</v>
      </c>
      <c r="AV34" s="2">
        <v>77.819999999999993</v>
      </c>
      <c r="AW34" s="2">
        <v>82.39</v>
      </c>
      <c r="AX34" s="2">
        <v>80.680000000000007</v>
      </c>
      <c r="AY34" s="2">
        <v>82.69</v>
      </c>
      <c r="AZ34" s="2">
        <v>77.23</v>
      </c>
      <c r="BA34" s="2">
        <v>74.02</v>
      </c>
      <c r="BB34" s="2">
        <v>80.069999999999993</v>
      </c>
      <c r="BC34" s="2">
        <v>76.72</v>
      </c>
      <c r="BD34" s="2">
        <v>75.5</v>
      </c>
      <c r="BE34" s="2">
        <v>77.47</v>
      </c>
      <c r="BF34" s="2">
        <v>78.72</v>
      </c>
      <c r="BG34" s="2">
        <v>79.55</v>
      </c>
      <c r="BH34" s="2">
        <v>77.89</v>
      </c>
      <c r="BI34" s="2">
        <v>78.3</v>
      </c>
      <c r="BJ34" s="2">
        <v>76.25</v>
      </c>
      <c r="BK34" s="2">
        <v>73.739999999999995</v>
      </c>
      <c r="BL34" s="2">
        <v>73.86</v>
      </c>
      <c r="BM34" s="2">
        <v>78.92</v>
      </c>
      <c r="BN34" s="2">
        <v>77.650000000000006</v>
      </c>
      <c r="BO34" s="2">
        <v>79.09</v>
      </c>
      <c r="BP34" s="2">
        <v>73.61</v>
      </c>
      <c r="BQ34" s="2">
        <v>72.099999999999994</v>
      </c>
      <c r="BR34" s="2">
        <v>78.400000000000006</v>
      </c>
      <c r="BS34" s="2">
        <v>80.790000000000006</v>
      </c>
      <c r="BT34" s="2">
        <v>72.400000000000006</v>
      </c>
      <c r="BU34" s="2">
        <v>73.17</v>
      </c>
      <c r="BV34" s="2">
        <v>75.680000000000007</v>
      </c>
      <c r="BW34" s="2">
        <v>73.209999999999994</v>
      </c>
      <c r="BX34" s="2">
        <v>81.58</v>
      </c>
      <c r="BY34" s="2">
        <v>76.52</v>
      </c>
      <c r="BZ34" s="2">
        <v>75.64</v>
      </c>
      <c r="CA34" s="2">
        <v>79.19</v>
      </c>
      <c r="CB34" s="2">
        <v>77.88</v>
      </c>
      <c r="CC34" s="2">
        <v>80.739999999999995</v>
      </c>
      <c r="CD34" s="2">
        <v>74.67</v>
      </c>
      <c r="CE34" s="2">
        <v>78.36</v>
      </c>
      <c r="CF34" s="2">
        <v>77.569999999999993</v>
      </c>
      <c r="CG34" s="2">
        <v>76.69</v>
      </c>
      <c r="CH34" s="2">
        <v>78.97</v>
      </c>
      <c r="CI34" s="2">
        <v>80.23</v>
      </c>
      <c r="CJ34" s="2">
        <v>77.13</v>
      </c>
      <c r="CK34" s="2">
        <v>78.11</v>
      </c>
      <c r="CL34" s="2">
        <v>78.52</v>
      </c>
      <c r="CM34" s="2">
        <v>78.180000000000007</v>
      </c>
      <c r="CN34" s="2">
        <v>80.430000000000007</v>
      </c>
      <c r="CO34" s="2">
        <v>73.510000000000005</v>
      </c>
      <c r="CP34" s="2">
        <v>75.150000000000006</v>
      </c>
      <c r="CQ34" s="2">
        <v>81.28</v>
      </c>
      <c r="CR34" s="2">
        <v>83.3</v>
      </c>
      <c r="CS34" s="2">
        <v>79.48</v>
      </c>
      <c r="CT34" s="2">
        <v>80.34</v>
      </c>
      <c r="CU34" s="2">
        <v>78.98</v>
      </c>
      <c r="CV34" s="2">
        <v>71.73</v>
      </c>
      <c r="CW34" s="2">
        <v>70.489999999999995</v>
      </c>
      <c r="CX34" s="2">
        <f t="shared" si="0"/>
        <v>77.220799999999983</v>
      </c>
    </row>
    <row r="35" spans="1:102" x14ac:dyDescent="0.2">
      <c r="A35" s="3" t="s">
        <v>152</v>
      </c>
      <c r="B35" s="2">
        <v>74.75</v>
      </c>
      <c r="C35" s="2">
        <v>76.88</v>
      </c>
      <c r="D35" s="2">
        <v>74.540000000000006</v>
      </c>
      <c r="E35" s="2">
        <v>78.790000000000006</v>
      </c>
      <c r="F35" s="2">
        <v>77.8</v>
      </c>
      <c r="G35" s="2">
        <v>75.52</v>
      </c>
      <c r="H35" s="2">
        <v>80.430000000000007</v>
      </c>
      <c r="I35" s="2">
        <v>75.319999999999993</v>
      </c>
      <c r="J35" s="2">
        <v>83.2</v>
      </c>
      <c r="K35" s="2">
        <v>81.75</v>
      </c>
      <c r="L35" s="2">
        <v>83.91</v>
      </c>
      <c r="M35" s="2">
        <v>75.69</v>
      </c>
      <c r="N35" s="2">
        <v>73.48</v>
      </c>
      <c r="O35" s="2">
        <v>78.53</v>
      </c>
      <c r="P35" s="2">
        <v>77.19</v>
      </c>
      <c r="Q35" s="2">
        <v>75.97</v>
      </c>
      <c r="R35" s="2">
        <v>79.38</v>
      </c>
      <c r="S35" s="2">
        <v>73.62</v>
      </c>
      <c r="T35" s="2">
        <v>79.680000000000007</v>
      </c>
      <c r="U35" s="2">
        <v>75.5</v>
      </c>
      <c r="V35" s="2">
        <v>72.86</v>
      </c>
      <c r="W35" s="2">
        <v>65.63</v>
      </c>
      <c r="X35" s="2">
        <v>80.33</v>
      </c>
      <c r="Y35" s="2">
        <v>69.81</v>
      </c>
      <c r="Z35" s="2">
        <v>79.010000000000005</v>
      </c>
      <c r="AA35" s="2">
        <v>74.75</v>
      </c>
      <c r="AB35" s="2">
        <v>80.260000000000005</v>
      </c>
      <c r="AC35" s="2">
        <v>75.69</v>
      </c>
      <c r="AD35" s="2">
        <v>74.7</v>
      </c>
      <c r="AE35" s="2">
        <v>77.44</v>
      </c>
      <c r="AF35" s="2">
        <v>77.27</v>
      </c>
      <c r="AG35" s="2">
        <v>74.069999999999993</v>
      </c>
      <c r="AH35" s="2">
        <v>75.89</v>
      </c>
      <c r="AI35" s="2">
        <v>75.45</v>
      </c>
      <c r="AJ35" s="2">
        <v>78.61</v>
      </c>
      <c r="AK35" s="2">
        <v>69.44</v>
      </c>
      <c r="AL35" s="2">
        <v>75.06</v>
      </c>
      <c r="AM35" s="2">
        <v>78.569999999999993</v>
      </c>
      <c r="AN35" s="2">
        <v>80.77</v>
      </c>
      <c r="AO35" s="2">
        <v>75.05</v>
      </c>
      <c r="AP35" s="2">
        <v>77.25</v>
      </c>
      <c r="AQ35" s="2">
        <v>77.06</v>
      </c>
      <c r="AR35" s="2">
        <v>74.13</v>
      </c>
      <c r="AS35" s="2">
        <v>81.349999999999994</v>
      </c>
      <c r="AT35" s="2">
        <v>77.959999999999994</v>
      </c>
      <c r="AU35" s="2">
        <v>76.39</v>
      </c>
      <c r="AV35" s="2">
        <v>76.67</v>
      </c>
      <c r="AW35" s="2">
        <v>74.53</v>
      </c>
      <c r="AX35" s="2">
        <v>78.05</v>
      </c>
      <c r="AY35" s="2">
        <v>81.180000000000007</v>
      </c>
      <c r="AZ35" s="2">
        <v>75.5</v>
      </c>
      <c r="BA35" s="2">
        <v>76.84</v>
      </c>
      <c r="BB35" s="2">
        <v>82.25</v>
      </c>
      <c r="BC35" s="2">
        <v>79.38</v>
      </c>
      <c r="BD35" s="2">
        <v>76.2</v>
      </c>
      <c r="BE35" s="2">
        <v>74.930000000000007</v>
      </c>
      <c r="BF35" s="2">
        <v>78.19</v>
      </c>
      <c r="BG35" s="2">
        <v>79.02</v>
      </c>
      <c r="BH35" s="2">
        <v>79.819999999999993</v>
      </c>
      <c r="BI35" s="2">
        <v>74.41</v>
      </c>
      <c r="BJ35" s="2">
        <v>78.14</v>
      </c>
      <c r="BK35" s="2">
        <v>77</v>
      </c>
      <c r="BL35" s="2">
        <v>74.31</v>
      </c>
      <c r="BM35" s="2">
        <v>77.73</v>
      </c>
      <c r="BN35" s="2">
        <v>84.1</v>
      </c>
      <c r="BO35" s="2">
        <v>85.66</v>
      </c>
      <c r="BP35" s="2">
        <v>76.17</v>
      </c>
      <c r="BQ35" s="2">
        <v>78.400000000000006</v>
      </c>
      <c r="BR35" s="2">
        <v>80.31</v>
      </c>
      <c r="BS35" s="2">
        <v>80.84</v>
      </c>
      <c r="BT35" s="2">
        <v>72.48</v>
      </c>
      <c r="BU35" s="2">
        <v>78.180000000000007</v>
      </c>
      <c r="BV35" s="2">
        <v>77.66</v>
      </c>
      <c r="BW35" s="2">
        <v>73.069999999999993</v>
      </c>
      <c r="BX35" s="2">
        <v>75.37</v>
      </c>
      <c r="BY35" s="2">
        <v>79.25</v>
      </c>
      <c r="BZ35" s="2">
        <v>76.349999999999994</v>
      </c>
      <c r="CA35" s="2">
        <v>75.97</v>
      </c>
      <c r="CB35" s="2">
        <v>81.099999999999994</v>
      </c>
      <c r="CC35" s="2">
        <v>75.72</v>
      </c>
      <c r="CD35" s="2">
        <v>71.790000000000006</v>
      </c>
      <c r="CE35" s="2">
        <v>78.680000000000007</v>
      </c>
      <c r="CF35" s="2">
        <v>76.77</v>
      </c>
      <c r="CG35" s="2">
        <v>76.05</v>
      </c>
      <c r="CH35" s="2">
        <v>81.34</v>
      </c>
      <c r="CI35" s="2">
        <v>80.739999999999995</v>
      </c>
      <c r="CJ35" s="2">
        <v>77.84</v>
      </c>
      <c r="CK35" s="2">
        <v>75.260000000000005</v>
      </c>
      <c r="CL35" s="2">
        <v>77.72</v>
      </c>
      <c r="CM35" s="2">
        <v>73.58</v>
      </c>
      <c r="CN35" s="2">
        <v>78.319999999999993</v>
      </c>
      <c r="CO35" s="2">
        <v>79.430000000000007</v>
      </c>
      <c r="CP35" s="2">
        <v>72.08</v>
      </c>
      <c r="CQ35" s="2">
        <v>81.28</v>
      </c>
      <c r="CR35" s="2">
        <v>81.180000000000007</v>
      </c>
      <c r="CS35" s="2">
        <v>75.39</v>
      </c>
      <c r="CT35" s="2">
        <v>77.5</v>
      </c>
      <c r="CU35" s="2">
        <v>75.81</v>
      </c>
      <c r="CV35" s="2">
        <v>72.92</v>
      </c>
      <c r="CW35" s="2">
        <v>71.42</v>
      </c>
      <c r="CX35" s="2">
        <f t="shared" si="0"/>
        <v>77.066100000000034</v>
      </c>
    </row>
    <row r="36" spans="1:102" x14ac:dyDescent="0.2">
      <c r="A36" s="3" t="s">
        <v>153</v>
      </c>
      <c r="B36" s="2">
        <v>70.23</v>
      </c>
      <c r="C36" s="2">
        <v>79.790000000000006</v>
      </c>
      <c r="D36" s="2">
        <v>75.27</v>
      </c>
      <c r="E36" s="2">
        <v>77.12</v>
      </c>
      <c r="F36" s="2">
        <v>80.19</v>
      </c>
      <c r="G36" s="2">
        <v>70.83</v>
      </c>
      <c r="H36" s="2">
        <v>81.47</v>
      </c>
      <c r="I36" s="2">
        <v>77.87</v>
      </c>
      <c r="J36" s="2">
        <v>75.540000000000006</v>
      </c>
      <c r="K36" s="2">
        <v>81.22</v>
      </c>
      <c r="L36" s="2">
        <v>73.69</v>
      </c>
      <c r="M36" s="2">
        <v>80.83</v>
      </c>
      <c r="N36" s="2">
        <v>76.95</v>
      </c>
      <c r="O36" s="2">
        <v>74.540000000000006</v>
      </c>
      <c r="P36" s="2">
        <v>79.069999999999993</v>
      </c>
      <c r="Q36" s="2">
        <v>76.98</v>
      </c>
      <c r="R36" s="2">
        <v>73.180000000000007</v>
      </c>
      <c r="S36" s="2">
        <v>78.58</v>
      </c>
      <c r="T36" s="2">
        <v>74.459999999999994</v>
      </c>
      <c r="U36" s="2">
        <v>81.06</v>
      </c>
      <c r="V36" s="2">
        <v>71.59</v>
      </c>
      <c r="W36" s="2">
        <v>70.25</v>
      </c>
      <c r="X36" s="2">
        <v>84.05</v>
      </c>
      <c r="Y36" s="2">
        <v>70.05</v>
      </c>
      <c r="Z36" s="2">
        <v>74.52</v>
      </c>
      <c r="AA36" s="2">
        <v>79.28</v>
      </c>
      <c r="AB36" s="2">
        <v>75.180000000000007</v>
      </c>
      <c r="AC36" s="2">
        <v>77.48</v>
      </c>
      <c r="AD36" s="2">
        <v>74.239999999999995</v>
      </c>
      <c r="AE36" s="2">
        <v>77.709999999999994</v>
      </c>
      <c r="AF36" s="2">
        <v>78.69</v>
      </c>
      <c r="AG36" s="2">
        <v>66.59</v>
      </c>
      <c r="AH36" s="2">
        <v>72.38</v>
      </c>
      <c r="AI36" s="2">
        <v>77.16</v>
      </c>
      <c r="AJ36" s="2">
        <v>77.33</v>
      </c>
      <c r="AK36" s="2">
        <v>65.849999999999994</v>
      </c>
      <c r="AL36" s="2">
        <v>78.73</v>
      </c>
      <c r="AM36" s="2">
        <v>73.78</v>
      </c>
      <c r="AN36" s="2">
        <v>83.02</v>
      </c>
      <c r="AO36" s="2">
        <v>74.91</v>
      </c>
      <c r="AP36" s="2">
        <v>78.53</v>
      </c>
      <c r="AQ36" s="2">
        <v>76.28</v>
      </c>
      <c r="AR36" s="2">
        <v>77.61</v>
      </c>
      <c r="AS36" s="2">
        <v>77.61</v>
      </c>
      <c r="AT36" s="2">
        <v>78.97</v>
      </c>
      <c r="AU36" s="2">
        <v>80.05</v>
      </c>
      <c r="AV36" s="2">
        <v>80.39</v>
      </c>
      <c r="AW36" s="2">
        <v>71.61</v>
      </c>
      <c r="AX36" s="2">
        <v>80.58</v>
      </c>
      <c r="AY36" s="2">
        <v>79.11</v>
      </c>
      <c r="AZ36" s="2">
        <v>69.17</v>
      </c>
      <c r="BA36" s="2">
        <v>72.540000000000006</v>
      </c>
      <c r="BB36" s="2">
        <v>72.930000000000007</v>
      </c>
      <c r="BC36" s="2">
        <v>79.38</v>
      </c>
      <c r="BD36" s="2">
        <v>78.959999999999994</v>
      </c>
      <c r="BE36" s="2">
        <v>72.75</v>
      </c>
      <c r="BF36" s="2">
        <v>75.94</v>
      </c>
      <c r="BG36" s="2">
        <v>75.33</v>
      </c>
      <c r="BH36" s="2">
        <v>79.88</v>
      </c>
      <c r="BI36" s="2">
        <v>72.27</v>
      </c>
      <c r="BJ36" s="2">
        <v>79.010000000000005</v>
      </c>
      <c r="BK36" s="2">
        <v>80.59</v>
      </c>
      <c r="BL36" s="2">
        <v>70.84</v>
      </c>
      <c r="BM36" s="2">
        <v>79.36</v>
      </c>
      <c r="BN36" s="2">
        <v>82.56</v>
      </c>
      <c r="BO36" s="2">
        <v>81.06</v>
      </c>
      <c r="BP36" s="2">
        <v>75.959999999999994</v>
      </c>
      <c r="BQ36" s="2">
        <v>80.09</v>
      </c>
      <c r="BR36" s="2">
        <v>76.06</v>
      </c>
      <c r="BS36" s="2">
        <v>79.150000000000006</v>
      </c>
      <c r="BT36" s="2">
        <v>72.62</v>
      </c>
      <c r="BU36" s="2">
        <v>78</v>
      </c>
      <c r="BV36" s="2">
        <v>77.819999999999993</v>
      </c>
      <c r="BW36" s="2">
        <v>70.94</v>
      </c>
      <c r="BX36" s="2">
        <v>76.61</v>
      </c>
      <c r="BY36" s="2">
        <v>80.739999999999995</v>
      </c>
      <c r="BZ36" s="2">
        <v>76.23</v>
      </c>
      <c r="CA36" s="2">
        <v>77.5</v>
      </c>
      <c r="CB36" s="2">
        <v>79.09</v>
      </c>
      <c r="CC36" s="2">
        <v>78.56</v>
      </c>
      <c r="CD36" s="2">
        <v>79.27</v>
      </c>
      <c r="CE36" s="2">
        <v>74.41</v>
      </c>
      <c r="CF36" s="2">
        <v>72.959999999999994</v>
      </c>
      <c r="CG36" s="2">
        <v>76.8</v>
      </c>
      <c r="CH36" s="2">
        <v>81.86</v>
      </c>
      <c r="CI36" s="2">
        <v>82.87</v>
      </c>
      <c r="CJ36" s="2">
        <v>78.72</v>
      </c>
      <c r="CK36" s="2">
        <v>80.099999999999994</v>
      </c>
      <c r="CL36" s="2">
        <v>75.5</v>
      </c>
      <c r="CM36" s="2">
        <v>80.63</v>
      </c>
      <c r="CN36" s="2">
        <v>75.989999999999995</v>
      </c>
      <c r="CO36" s="2">
        <v>73</v>
      </c>
      <c r="CP36" s="2">
        <v>79.83</v>
      </c>
      <c r="CQ36" s="2">
        <v>78.13</v>
      </c>
      <c r="CR36" s="2">
        <v>73.260000000000005</v>
      </c>
      <c r="CS36" s="2">
        <v>80.23</v>
      </c>
      <c r="CT36" s="2">
        <v>73.73</v>
      </c>
      <c r="CU36" s="2">
        <v>80.72</v>
      </c>
      <c r="CV36" s="2">
        <v>76.16</v>
      </c>
      <c r="CW36" s="2">
        <v>72.459999999999994</v>
      </c>
      <c r="CX36" s="2">
        <f t="shared" si="0"/>
        <v>76.709699999999998</v>
      </c>
    </row>
    <row r="37" spans="1:102" x14ac:dyDescent="0.2">
      <c r="A37" s="3" t="s">
        <v>154</v>
      </c>
      <c r="B37" s="2">
        <v>71.98</v>
      </c>
      <c r="C37" s="2">
        <v>79.849999999999994</v>
      </c>
      <c r="D37" s="2">
        <v>70.7</v>
      </c>
      <c r="E37" s="2">
        <v>72.41</v>
      </c>
      <c r="F37" s="2">
        <v>82</v>
      </c>
      <c r="G37" s="2">
        <v>75.8</v>
      </c>
      <c r="H37" s="2">
        <v>81.89</v>
      </c>
      <c r="I37" s="2">
        <v>80.78</v>
      </c>
      <c r="J37" s="2">
        <v>72.41</v>
      </c>
      <c r="K37" s="2">
        <v>77.58</v>
      </c>
      <c r="L37" s="2">
        <v>70.77</v>
      </c>
      <c r="M37" s="2">
        <v>77.34</v>
      </c>
      <c r="N37" s="2">
        <v>76.98</v>
      </c>
      <c r="O37" s="2">
        <v>75.25</v>
      </c>
      <c r="P37" s="2">
        <v>76.06</v>
      </c>
      <c r="Q37" s="2">
        <v>82.56</v>
      </c>
      <c r="R37" s="2">
        <v>68.53</v>
      </c>
      <c r="S37" s="2">
        <v>77.64</v>
      </c>
      <c r="T37" s="2">
        <v>74.38</v>
      </c>
      <c r="U37" s="2">
        <v>82.75</v>
      </c>
      <c r="V37" s="2">
        <v>67</v>
      </c>
      <c r="W37" s="2">
        <v>75.39</v>
      </c>
      <c r="X37" s="2">
        <v>82.48</v>
      </c>
      <c r="Y37" s="2">
        <v>75.39</v>
      </c>
      <c r="Z37" s="2">
        <v>78.44</v>
      </c>
      <c r="AA37" s="2">
        <v>78.34</v>
      </c>
      <c r="AB37" s="2">
        <v>76.75</v>
      </c>
      <c r="AC37" s="2">
        <v>74.61</v>
      </c>
      <c r="AD37" s="2">
        <v>75.739999999999995</v>
      </c>
      <c r="AE37" s="2">
        <v>72.27</v>
      </c>
      <c r="AF37" s="2">
        <v>79.52</v>
      </c>
      <c r="AG37" s="2">
        <v>72.650000000000006</v>
      </c>
      <c r="AH37" s="2">
        <v>72.819999999999993</v>
      </c>
      <c r="AI37" s="2">
        <v>77.19</v>
      </c>
      <c r="AJ37" s="2">
        <v>81.55</v>
      </c>
      <c r="AK37" s="2">
        <v>67.78</v>
      </c>
      <c r="AL37" s="2">
        <v>77.760000000000005</v>
      </c>
      <c r="AM37" s="2">
        <v>70.599999999999994</v>
      </c>
      <c r="AN37" s="2">
        <v>81.7</v>
      </c>
      <c r="AO37" s="2">
        <v>74.59</v>
      </c>
      <c r="AP37" s="2">
        <v>83.2</v>
      </c>
      <c r="AQ37" s="2">
        <v>77.400000000000006</v>
      </c>
      <c r="AR37" s="2">
        <v>73.59</v>
      </c>
      <c r="AS37" s="2">
        <v>77.73</v>
      </c>
      <c r="AT37" s="2">
        <v>77.05</v>
      </c>
      <c r="AU37" s="2">
        <v>80.319999999999993</v>
      </c>
      <c r="AV37" s="2">
        <v>73.36</v>
      </c>
      <c r="AW37" s="2">
        <v>76.44</v>
      </c>
      <c r="AX37" s="2">
        <v>75.89</v>
      </c>
      <c r="AY37" s="2">
        <v>76.86</v>
      </c>
      <c r="AZ37" s="2">
        <v>73.02</v>
      </c>
      <c r="BA37" s="2">
        <v>73.14</v>
      </c>
      <c r="BB37" s="2">
        <v>72.06</v>
      </c>
      <c r="BC37" s="2">
        <v>79.650000000000006</v>
      </c>
      <c r="BD37" s="2">
        <v>79.61</v>
      </c>
      <c r="BE37" s="2">
        <v>76.16</v>
      </c>
      <c r="BF37" s="2">
        <v>77.92</v>
      </c>
      <c r="BG37" s="2">
        <v>73.010000000000005</v>
      </c>
      <c r="BH37" s="2">
        <v>78.38</v>
      </c>
      <c r="BI37" s="2">
        <v>71.040000000000006</v>
      </c>
      <c r="BJ37" s="2">
        <v>75.69</v>
      </c>
      <c r="BK37" s="2">
        <v>77.08</v>
      </c>
      <c r="BL37" s="2">
        <v>78.47</v>
      </c>
      <c r="BM37" s="2">
        <v>77.430000000000007</v>
      </c>
      <c r="BN37" s="2">
        <v>74.41</v>
      </c>
      <c r="BO37" s="2">
        <v>81.08</v>
      </c>
      <c r="BP37" s="2">
        <v>72.62</v>
      </c>
      <c r="BQ37" s="2">
        <v>76.58</v>
      </c>
      <c r="BR37" s="2">
        <v>74.61</v>
      </c>
      <c r="BS37" s="2">
        <v>77.239999999999995</v>
      </c>
      <c r="BT37" s="2">
        <v>77.13</v>
      </c>
      <c r="BU37" s="2">
        <v>77.81</v>
      </c>
      <c r="BV37" s="2">
        <v>77.33</v>
      </c>
      <c r="BW37" s="2">
        <v>73.87</v>
      </c>
      <c r="BX37" s="2">
        <v>73.209999999999994</v>
      </c>
      <c r="BY37" s="2">
        <v>80.38</v>
      </c>
      <c r="BZ37" s="2">
        <v>74.930000000000007</v>
      </c>
      <c r="CA37" s="2">
        <v>72.39</v>
      </c>
      <c r="CB37" s="2">
        <v>74.11</v>
      </c>
      <c r="CC37" s="2">
        <v>81.12</v>
      </c>
      <c r="CD37" s="2">
        <v>76.61</v>
      </c>
      <c r="CE37" s="2">
        <v>72.010000000000005</v>
      </c>
      <c r="CF37" s="2">
        <v>76.39</v>
      </c>
      <c r="CG37" s="2">
        <v>74.16</v>
      </c>
      <c r="CH37" s="2">
        <v>81.540000000000006</v>
      </c>
      <c r="CI37" s="2">
        <v>82.88</v>
      </c>
      <c r="CJ37" s="2">
        <v>75.38</v>
      </c>
      <c r="CK37" s="2">
        <v>76.540000000000006</v>
      </c>
      <c r="CL37" s="2">
        <v>76.739999999999995</v>
      </c>
      <c r="CM37" s="2">
        <v>80.58</v>
      </c>
      <c r="CN37" s="2">
        <v>76.58</v>
      </c>
      <c r="CO37" s="2">
        <v>74.72</v>
      </c>
      <c r="CP37" s="2">
        <v>74.8</v>
      </c>
      <c r="CQ37" s="2">
        <v>75.33</v>
      </c>
      <c r="CR37" s="2">
        <v>77.73</v>
      </c>
      <c r="CS37" s="2">
        <v>74.8</v>
      </c>
      <c r="CT37" s="2">
        <v>70.680000000000007</v>
      </c>
      <c r="CU37" s="2">
        <v>78.08</v>
      </c>
      <c r="CV37" s="2">
        <v>75.48</v>
      </c>
      <c r="CW37" s="2">
        <v>73.37</v>
      </c>
      <c r="CX37" s="2">
        <f t="shared" si="0"/>
        <v>76.179500000000004</v>
      </c>
    </row>
    <row r="38" spans="1:102" x14ac:dyDescent="0.2">
      <c r="A38" s="3" t="s">
        <v>155</v>
      </c>
      <c r="B38" s="2">
        <v>73.209999999999994</v>
      </c>
      <c r="C38" s="2">
        <v>80.62</v>
      </c>
      <c r="D38" s="2">
        <v>76.23</v>
      </c>
      <c r="E38" s="2">
        <v>74.27</v>
      </c>
      <c r="F38" s="2">
        <v>82.09</v>
      </c>
      <c r="G38" s="2">
        <v>71.63</v>
      </c>
      <c r="H38" s="2">
        <v>79.13</v>
      </c>
      <c r="I38" s="2">
        <v>81.44</v>
      </c>
      <c r="J38" s="2">
        <v>69.06</v>
      </c>
      <c r="K38" s="2">
        <v>75.39</v>
      </c>
      <c r="L38" s="2">
        <v>72.180000000000007</v>
      </c>
      <c r="M38" s="2">
        <v>77.98</v>
      </c>
      <c r="N38" s="2">
        <v>75.31</v>
      </c>
      <c r="O38" s="2">
        <v>74.72</v>
      </c>
      <c r="P38" s="2">
        <v>74.16</v>
      </c>
      <c r="Q38" s="2">
        <v>82.36</v>
      </c>
      <c r="R38" s="2">
        <v>65.77</v>
      </c>
      <c r="S38" s="2">
        <v>80.8</v>
      </c>
      <c r="T38" s="2">
        <v>75.2</v>
      </c>
      <c r="U38" s="2">
        <v>82.67</v>
      </c>
      <c r="V38" s="2">
        <v>73.260000000000005</v>
      </c>
      <c r="W38" s="2">
        <v>76.64</v>
      </c>
      <c r="X38" s="2">
        <v>82.62</v>
      </c>
      <c r="Y38" s="2">
        <v>81.16</v>
      </c>
      <c r="Z38" s="2">
        <v>75.3</v>
      </c>
      <c r="AA38" s="2">
        <v>78.8</v>
      </c>
      <c r="AB38" s="2">
        <v>74.23</v>
      </c>
      <c r="AC38" s="2">
        <v>77.84</v>
      </c>
      <c r="AD38" s="2">
        <v>80.040000000000006</v>
      </c>
      <c r="AE38" s="2">
        <v>73.66</v>
      </c>
      <c r="AF38" s="2">
        <v>80.95</v>
      </c>
      <c r="AG38" s="2">
        <v>77.73</v>
      </c>
      <c r="AH38" s="2">
        <v>76.83</v>
      </c>
      <c r="AI38" s="2">
        <v>73.37</v>
      </c>
      <c r="AJ38" s="2">
        <v>81</v>
      </c>
      <c r="AK38" s="2">
        <v>72.95</v>
      </c>
      <c r="AL38" s="2">
        <v>82.88</v>
      </c>
      <c r="AM38" s="2">
        <v>76.37</v>
      </c>
      <c r="AN38" s="2">
        <v>81.69</v>
      </c>
      <c r="AO38" s="2">
        <v>80.48</v>
      </c>
      <c r="AP38" s="2">
        <v>80.77</v>
      </c>
      <c r="AQ38" s="2">
        <v>69.94</v>
      </c>
      <c r="AR38" s="2">
        <v>75.849999999999994</v>
      </c>
      <c r="AS38" s="2">
        <v>75.66</v>
      </c>
      <c r="AT38" s="2">
        <v>76.05</v>
      </c>
      <c r="AU38" s="2">
        <v>77.34</v>
      </c>
      <c r="AV38" s="2">
        <v>76.8</v>
      </c>
      <c r="AW38" s="2">
        <v>78.849999999999994</v>
      </c>
      <c r="AX38" s="2">
        <v>74.459999999999994</v>
      </c>
      <c r="AY38" s="2">
        <v>77.38</v>
      </c>
      <c r="AZ38" s="2">
        <v>73.13</v>
      </c>
      <c r="BA38" s="2">
        <v>72.849999999999994</v>
      </c>
      <c r="BB38" s="2">
        <v>74.36</v>
      </c>
      <c r="BC38" s="2">
        <v>71.78</v>
      </c>
      <c r="BD38" s="2">
        <v>79.38</v>
      </c>
      <c r="BE38" s="2">
        <v>80.34</v>
      </c>
      <c r="BF38" s="2">
        <v>78.05</v>
      </c>
      <c r="BG38" s="2">
        <v>73.260000000000005</v>
      </c>
      <c r="BH38" s="2">
        <v>75.900000000000006</v>
      </c>
      <c r="BI38" s="2">
        <v>75.349999999999994</v>
      </c>
      <c r="BJ38" s="2">
        <v>81.680000000000007</v>
      </c>
      <c r="BK38" s="2">
        <v>76.97</v>
      </c>
      <c r="BL38" s="2">
        <v>76.290000000000006</v>
      </c>
      <c r="BM38" s="2">
        <v>77.83</v>
      </c>
      <c r="BN38" s="2">
        <v>75.05</v>
      </c>
      <c r="BO38" s="2">
        <v>79.23</v>
      </c>
      <c r="BP38" s="2">
        <v>71.63</v>
      </c>
      <c r="BQ38" s="2">
        <v>75.930000000000007</v>
      </c>
      <c r="BR38" s="2">
        <v>77.33</v>
      </c>
      <c r="BS38" s="2">
        <v>82.8</v>
      </c>
      <c r="BT38" s="2">
        <v>77.34</v>
      </c>
      <c r="BU38" s="2">
        <v>74.650000000000006</v>
      </c>
      <c r="BV38" s="2">
        <v>77.7</v>
      </c>
      <c r="BW38" s="2">
        <v>69.680000000000007</v>
      </c>
      <c r="BX38" s="2">
        <v>70.510000000000005</v>
      </c>
      <c r="BY38" s="2">
        <v>71.42</v>
      </c>
      <c r="BZ38" s="2">
        <v>78.349999999999994</v>
      </c>
      <c r="CA38" s="2">
        <v>74.94</v>
      </c>
      <c r="CB38" s="2">
        <v>79.67</v>
      </c>
      <c r="CC38" s="2">
        <v>78.91</v>
      </c>
      <c r="CD38" s="2">
        <v>78.95</v>
      </c>
      <c r="CE38" s="2">
        <v>72.400000000000006</v>
      </c>
      <c r="CF38" s="2">
        <v>75.56</v>
      </c>
      <c r="CG38" s="2">
        <v>74.94</v>
      </c>
      <c r="CH38" s="2">
        <v>80.010000000000005</v>
      </c>
      <c r="CI38" s="2">
        <v>82.22</v>
      </c>
      <c r="CJ38" s="2">
        <v>79.86</v>
      </c>
      <c r="CK38" s="2">
        <v>76.33</v>
      </c>
      <c r="CL38" s="2">
        <v>77.739999999999995</v>
      </c>
      <c r="CM38" s="2">
        <v>83.4</v>
      </c>
      <c r="CN38" s="2">
        <v>73.78</v>
      </c>
      <c r="CO38" s="2">
        <v>73.680000000000007</v>
      </c>
      <c r="CP38" s="2">
        <v>78.05</v>
      </c>
      <c r="CQ38" s="2">
        <v>82.67</v>
      </c>
      <c r="CR38" s="2">
        <v>78.319999999999993</v>
      </c>
      <c r="CS38" s="2">
        <v>72.62</v>
      </c>
      <c r="CT38" s="2">
        <v>72.900000000000006</v>
      </c>
      <c r="CU38" s="2">
        <v>84.36</v>
      </c>
      <c r="CV38" s="2">
        <v>71.75</v>
      </c>
      <c r="CW38" s="2">
        <v>71.53</v>
      </c>
      <c r="CX38" s="2">
        <f t="shared" si="0"/>
        <v>76.684999999999988</v>
      </c>
    </row>
    <row r="39" spans="1:102" x14ac:dyDescent="0.2">
      <c r="A39" s="3" t="s">
        <v>156</v>
      </c>
      <c r="B39" s="2">
        <v>74.33</v>
      </c>
      <c r="C39" s="2">
        <v>78.75</v>
      </c>
      <c r="D39" s="2">
        <v>74.69</v>
      </c>
      <c r="E39" s="2">
        <v>75.959999999999994</v>
      </c>
      <c r="F39" s="2">
        <v>77.27</v>
      </c>
      <c r="G39" s="2">
        <v>81.010000000000005</v>
      </c>
      <c r="H39" s="2">
        <v>79.77</v>
      </c>
      <c r="I39" s="2">
        <v>79.36</v>
      </c>
      <c r="J39" s="2">
        <v>73.05</v>
      </c>
      <c r="K39" s="2">
        <v>72.41</v>
      </c>
      <c r="L39" s="2">
        <v>71.75</v>
      </c>
      <c r="M39" s="2">
        <v>75.47</v>
      </c>
      <c r="N39" s="2">
        <v>80.23</v>
      </c>
      <c r="O39" s="2">
        <v>72</v>
      </c>
      <c r="P39" s="2">
        <v>74.8</v>
      </c>
      <c r="Q39" s="2">
        <v>83.84</v>
      </c>
      <c r="R39" s="2">
        <v>79.510000000000005</v>
      </c>
      <c r="S39" s="2">
        <v>79.959999999999994</v>
      </c>
      <c r="T39" s="2">
        <v>73.98</v>
      </c>
      <c r="U39" s="2">
        <v>81.459999999999994</v>
      </c>
      <c r="V39" s="2">
        <v>78.48</v>
      </c>
      <c r="W39" s="2">
        <v>77.209999999999994</v>
      </c>
      <c r="X39" s="2">
        <v>75.42</v>
      </c>
      <c r="Y39" s="2">
        <v>82.42</v>
      </c>
      <c r="Z39" s="2">
        <v>76.17</v>
      </c>
      <c r="AA39" s="2">
        <v>79.89</v>
      </c>
      <c r="AB39" s="2">
        <v>79.88</v>
      </c>
      <c r="AC39" s="2">
        <v>77.63</v>
      </c>
      <c r="AD39" s="2">
        <v>80.37</v>
      </c>
      <c r="AE39" s="2">
        <v>71.19</v>
      </c>
      <c r="AF39" s="2">
        <v>78.94</v>
      </c>
      <c r="AG39" s="2">
        <v>81.63</v>
      </c>
      <c r="AH39" s="2">
        <v>77.03</v>
      </c>
      <c r="AI39" s="2">
        <v>75.540000000000006</v>
      </c>
      <c r="AJ39" s="2">
        <v>79.650000000000006</v>
      </c>
      <c r="AK39" s="2">
        <v>75.08</v>
      </c>
      <c r="AL39" s="2">
        <v>83.02</v>
      </c>
      <c r="AM39" s="2">
        <v>79.3</v>
      </c>
      <c r="AN39" s="2">
        <v>80.180000000000007</v>
      </c>
      <c r="AO39" s="2">
        <v>79.91</v>
      </c>
      <c r="AP39" s="2">
        <v>79.91</v>
      </c>
      <c r="AQ39" s="2">
        <v>71.790000000000006</v>
      </c>
      <c r="AR39" s="2">
        <v>73.180000000000007</v>
      </c>
      <c r="AS39" s="2">
        <v>79.11</v>
      </c>
      <c r="AT39" s="2">
        <v>77.14</v>
      </c>
      <c r="AU39" s="2">
        <v>82.52</v>
      </c>
      <c r="AV39" s="2">
        <v>80.739999999999995</v>
      </c>
      <c r="AW39" s="2">
        <v>77.78</v>
      </c>
      <c r="AX39" s="2">
        <v>70.489999999999995</v>
      </c>
      <c r="AY39" s="2">
        <v>78.12</v>
      </c>
      <c r="AZ39" s="2">
        <v>74.09</v>
      </c>
      <c r="BA39" s="2">
        <v>76.86</v>
      </c>
      <c r="BB39" s="2">
        <v>68.42</v>
      </c>
      <c r="BC39" s="2">
        <v>72.47</v>
      </c>
      <c r="BD39" s="2">
        <v>76.34</v>
      </c>
      <c r="BE39" s="2">
        <v>79.56</v>
      </c>
      <c r="BF39" s="2">
        <v>77.260000000000005</v>
      </c>
      <c r="BG39" s="2">
        <v>75.22</v>
      </c>
      <c r="BH39" s="2">
        <v>69.73</v>
      </c>
      <c r="BI39" s="2">
        <v>72.790000000000006</v>
      </c>
      <c r="BJ39" s="2">
        <v>78.489999999999995</v>
      </c>
      <c r="BK39" s="2">
        <v>78</v>
      </c>
      <c r="BL39" s="2">
        <v>73.34</v>
      </c>
      <c r="BM39" s="2">
        <v>75.569999999999993</v>
      </c>
      <c r="BN39" s="2">
        <v>72.55</v>
      </c>
      <c r="BO39" s="2">
        <v>76.48</v>
      </c>
      <c r="BP39" s="2">
        <v>78.180000000000007</v>
      </c>
      <c r="BQ39" s="2">
        <v>71.760000000000005</v>
      </c>
      <c r="BR39" s="2">
        <v>72.260000000000005</v>
      </c>
      <c r="BS39" s="2">
        <v>79.040000000000006</v>
      </c>
      <c r="BT39" s="2">
        <v>76.8</v>
      </c>
      <c r="BU39" s="2">
        <v>79.77</v>
      </c>
      <c r="BV39" s="2">
        <v>78.28</v>
      </c>
      <c r="BW39" s="2">
        <v>72.64</v>
      </c>
      <c r="BX39" s="2">
        <v>75.400000000000006</v>
      </c>
      <c r="BY39" s="2">
        <v>73.319999999999993</v>
      </c>
      <c r="BZ39" s="2">
        <v>83.83</v>
      </c>
      <c r="CA39" s="2">
        <v>74.13</v>
      </c>
      <c r="CB39" s="2">
        <v>74.47</v>
      </c>
      <c r="CC39" s="2">
        <v>76.64</v>
      </c>
      <c r="CD39" s="2">
        <v>73.69</v>
      </c>
      <c r="CE39" s="2">
        <v>72.44</v>
      </c>
      <c r="CF39" s="2">
        <v>75.73</v>
      </c>
      <c r="CG39" s="2">
        <v>78.680000000000007</v>
      </c>
      <c r="CH39" s="2">
        <v>77.7</v>
      </c>
      <c r="CI39" s="2">
        <v>79.67</v>
      </c>
      <c r="CJ39" s="2">
        <v>77.489999999999995</v>
      </c>
      <c r="CK39" s="2">
        <v>79.73</v>
      </c>
      <c r="CL39" s="2">
        <v>76.67</v>
      </c>
      <c r="CM39" s="2">
        <v>78.27</v>
      </c>
      <c r="CN39" s="2">
        <v>81.760000000000005</v>
      </c>
      <c r="CO39" s="2">
        <v>82.27</v>
      </c>
      <c r="CP39" s="2">
        <v>77.819999999999993</v>
      </c>
      <c r="CQ39" s="2">
        <v>76.69</v>
      </c>
      <c r="CR39" s="2">
        <v>79.09</v>
      </c>
      <c r="CS39" s="2">
        <v>77.25</v>
      </c>
      <c r="CT39" s="2">
        <v>76.260000000000005</v>
      </c>
      <c r="CU39" s="2">
        <v>79.78</v>
      </c>
      <c r="CV39" s="2">
        <v>73.98</v>
      </c>
      <c r="CW39" s="2">
        <v>76.510000000000005</v>
      </c>
      <c r="CX39" s="2">
        <f t="shared" si="0"/>
        <v>76.944900000000004</v>
      </c>
    </row>
    <row r="40" spans="1:102" x14ac:dyDescent="0.2">
      <c r="A40" s="3" t="s">
        <v>167</v>
      </c>
      <c r="B40" s="2">
        <f>AVERAGE(B4:B39)</f>
        <v>77.523055555555572</v>
      </c>
      <c r="C40" s="2">
        <f t="shared" ref="C40:BN40" si="1">AVERAGE(C4:C39)</f>
        <v>77.020277777777764</v>
      </c>
      <c r="D40" s="2">
        <f t="shared" si="1"/>
        <v>75.536666666666662</v>
      </c>
      <c r="E40" s="2">
        <f t="shared" si="1"/>
        <v>76.21611111111109</v>
      </c>
      <c r="F40" s="2">
        <f t="shared" si="1"/>
        <v>76.728055555555557</v>
      </c>
      <c r="G40" s="2">
        <f t="shared" si="1"/>
        <v>76.647500000000008</v>
      </c>
      <c r="H40" s="2">
        <f t="shared" si="1"/>
        <v>78.77861111111109</v>
      </c>
      <c r="I40" s="2">
        <f t="shared" si="1"/>
        <v>76.281666666666666</v>
      </c>
      <c r="J40" s="2">
        <f t="shared" si="1"/>
        <v>77.655833333333334</v>
      </c>
      <c r="K40" s="2">
        <f t="shared" si="1"/>
        <v>77.52583333333331</v>
      </c>
      <c r="L40" s="2">
        <f t="shared" si="1"/>
        <v>76.53416666666665</v>
      </c>
      <c r="M40" s="2">
        <f t="shared" si="1"/>
        <v>76.138888888888886</v>
      </c>
      <c r="N40" s="2">
        <f t="shared" si="1"/>
        <v>77.012777777777785</v>
      </c>
      <c r="O40" s="2">
        <f t="shared" si="1"/>
        <v>76.851944444444442</v>
      </c>
      <c r="P40" s="2">
        <f t="shared" si="1"/>
        <v>77.388055555555539</v>
      </c>
      <c r="Q40" s="2">
        <f t="shared" si="1"/>
        <v>76.697777777777802</v>
      </c>
      <c r="R40" s="2">
        <f t="shared" si="1"/>
        <v>77.12722222222223</v>
      </c>
      <c r="S40" s="2">
        <f t="shared" si="1"/>
        <v>77.704444444444434</v>
      </c>
      <c r="T40" s="2">
        <f t="shared" si="1"/>
        <v>75.671111111111088</v>
      </c>
      <c r="U40" s="2">
        <f t="shared" si="1"/>
        <v>76.701666666666668</v>
      </c>
      <c r="V40" s="2">
        <f t="shared" si="1"/>
        <v>75.923333333333346</v>
      </c>
      <c r="W40" s="2">
        <f t="shared" si="1"/>
        <v>75.006388888888893</v>
      </c>
      <c r="X40" s="2">
        <f t="shared" si="1"/>
        <v>77.498888888888885</v>
      </c>
      <c r="Y40" s="2">
        <f t="shared" si="1"/>
        <v>77.016388888888898</v>
      </c>
      <c r="Z40" s="2">
        <f t="shared" si="1"/>
        <v>76.286388888888894</v>
      </c>
      <c r="AA40" s="2">
        <f t="shared" si="1"/>
        <v>77.855555555555569</v>
      </c>
      <c r="AB40" s="2">
        <f t="shared" si="1"/>
        <v>76.715000000000003</v>
      </c>
      <c r="AC40" s="2">
        <f t="shared" si="1"/>
        <v>77.508055555555572</v>
      </c>
      <c r="AD40" s="2">
        <f t="shared" si="1"/>
        <v>76.969722222222188</v>
      </c>
      <c r="AE40" s="2">
        <f t="shared" si="1"/>
        <v>75.158611111111114</v>
      </c>
      <c r="AF40" s="2">
        <f t="shared" si="1"/>
        <v>78.452500000000015</v>
      </c>
      <c r="AG40" s="2">
        <f t="shared" si="1"/>
        <v>77.414444444444456</v>
      </c>
      <c r="AH40" s="2">
        <f t="shared" si="1"/>
        <v>77.835000000000022</v>
      </c>
      <c r="AI40" s="2">
        <f t="shared" si="1"/>
        <v>77.124444444444421</v>
      </c>
      <c r="AJ40" s="2">
        <f t="shared" si="1"/>
        <v>76.379166666666677</v>
      </c>
      <c r="AK40" s="2">
        <f t="shared" si="1"/>
        <v>76.984999999999999</v>
      </c>
      <c r="AL40" s="2">
        <f t="shared" si="1"/>
        <v>78.70999999999998</v>
      </c>
      <c r="AM40" s="2">
        <f t="shared" si="1"/>
        <v>76.814166666666679</v>
      </c>
      <c r="AN40" s="2">
        <f t="shared" si="1"/>
        <v>77.553333333333313</v>
      </c>
      <c r="AO40" s="2">
        <f t="shared" si="1"/>
        <v>76.434166666666655</v>
      </c>
      <c r="AP40" s="2">
        <f t="shared" si="1"/>
        <v>78.039166666666659</v>
      </c>
      <c r="AQ40" s="2">
        <f t="shared" si="1"/>
        <v>76.123611111111089</v>
      </c>
      <c r="AR40" s="2">
        <f t="shared" si="1"/>
        <v>75.913611111111109</v>
      </c>
      <c r="AS40" s="2">
        <f t="shared" si="1"/>
        <v>76.885555555555555</v>
      </c>
      <c r="AT40" s="2">
        <f t="shared" si="1"/>
        <v>76.024166666666645</v>
      </c>
      <c r="AU40" s="2">
        <f t="shared" si="1"/>
        <v>77.745000000000005</v>
      </c>
      <c r="AV40" s="2">
        <f t="shared" si="1"/>
        <v>77.248055555555553</v>
      </c>
      <c r="AW40" s="2">
        <f t="shared" si="1"/>
        <v>77.312222222222246</v>
      </c>
      <c r="AX40" s="2">
        <f t="shared" si="1"/>
        <v>76.751666666666651</v>
      </c>
      <c r="AY40" s="2">
        <f t="shared" si="1"/>
        <v>78.557500000000005</v>
      </c>
      <c r="AZ40" s="2">
        <f t="shared" si="1"/>
        <v>77.559444444444452</v>
      </c>
      <c r="BA40" s="2">
        <f t="shared" si="1"/>
        <v>75.809444444444452</v>
      </c>
      <c r="BB40" s="2">
        <f t="shared" si="1"/>
        <v>75.728055555555557</v>
      </c>
      <c r="BC40" s="2">
        <f t="shared" si="1"/>
        <v>77.051666666666677</v>
      </c>
      <c r="BD40" s="2">
        <f t="shared" si="1"/>
        <v>75.75833333333334</v>
      </c>
      <c r="BE40" s="2">
        <f t="shared" si="1"/>
        <v>75.482499999999987</v>
      </c>
      <c r="BF40" s="2">
        <f t="shared" si="1"/>
        <v>77.430277777777803</v>
      </c>
      <c r="BG40" s="2">
        <f t="shared" si="1"/>
        <v>78.953611111111115</v>
      </c>
      <c r="BH40" s="2">
        <f t="shared" si="1"/>
        <v>77.979722222222236</v>
      </c>
      <c r="BI40" s="2">
        <f t="shared" si="1"/>
        <v>76.602777777777803</v>
      </c>
      <c r="BJ40" s="2">
        <f t="shared" si="1"/>
        <v>78.252499999999998</v>
      </c>
      <c r="BK40" s="2">
        <f t="shared" si="1"/>
        <v>76.729722222222236</v>
      </c>
      <c r="BL40" s="2">
        <f t="shared" si="1"/>
        <v>76.217222222222233</v>
      </c>
      <c r="BM40" s="2">
        <f t="shared" si="1"/>
        <v>78.344166666666666</v>
      </c>
      <c r="BN40" s="2">
        <f t="shared" si="1"/>
        <v>77.313888888888897</v>
      </c>
      <c r="BO40" s="2">
        <f t="shared" ref="BO40:CW40" si="2">AVERAGE(BO4:BO39)</f>
        <v>77.835000000000008</v>
      </c>
      <c r="BP40" s="2">
        <f t="shared" si="2"/>
        <v>77.916666666666686</v>
      </c>
      <c r="BQ40" s="2">
        <f t="shared" si="2"/>
        <v>76.571388888888904</v>
      </c>
      <c r="BR40" s="2">
        <f t="shared" si="2"/>
        <v>76.740000000000009</v>
      </c>
      <c r="BS40" s="2">
        <f t="shared" si="2"/>
        <v>76.65916666666665</v>
      </c>
      <c r="BT40" s="2">
        <f t="shared" si="2"/>
        <v>78.149166666666673</v>
      </c>
      <c r="BU40" s="2">
        <f t="shared" si="2"/>
        <v>78.841111111111104</v>
      </c>
      <c r="BV40" s="2">
        <f t="shared" si="2"/>
        <v>76.297777777777767</v>
      </c>
      <c r="BW40" s="2">
        <f t="shared" si="2"/>
        <v>75.118611111111093</v>
      </c>
      <c r="BX40" s="2">
        <f t="shared" si="2"/>
        <v>75.996666666666684</v>
      </c>
      <c r="BY40" s="2">
        <f t="shared" si="2"/>
        <v>77.875277777777754</v>
      </c>
      <c r="BZ40" s="2">
        <f t="shared" si="2"/>
        <v>77.01194444444441</v>
      </c>
      <c r="CA40" s="2">
        <f t="shared" si="2"/>
        <v>77.130833333333328</v>
      </c>
      <c r="CB40" s="2">
        <f t="shared" si="2"/>
        <v>77.325277777777785</v>
      </c>
      <c r="CC40" s="2">
        <f t="shared" si="2"/>
        <v>77.873055555555553</v>
      </c>
      <c r="CD40" s="2">
        <f t="shared" si="2"/>
        <v>76.359444444444449</v>
      </c>
      <c r="CE40" s="2">
        <f t="shared" si="2"/>
        <v>76.310833333333335</v>
      </c>
      <c r="CF40" s="2">
        <f t="shared" si="2"/>
        <v>75.510277777777759</v>
      </c>
      <c r="CG40" s="2">
        <f t="shared" si="2"/>
        <v>77.731388888888887</v>
      </c>
      <c r="CH40" s="2">
        <f t="shared" si="2"/>
        <v>77.205277777777781</v>
      </c>
      <c r="CI40" s="2">
        <f t="shared" si="2"/>
        <v>77.283055555555549</v>
      </c>
      <c r="CJ40" s="2">
        <f t="shared" si="2"/>
        <v>77.666944444444468</v>
      </c>
      <c r="CK40" s="2">
        <f t="shared" si="2"/>
        <v>76.794444444444451</v>
      </c>
      <c r="CL40" s="2">
        <f t="shared" si="2"/>
        <v>77.080555555555534</v>
      </c>
      <c r="CM40" s="2">
        <f t="shared" si="2"/>
        <v>76.405000000000001</v>
      </c>
      <c r="CN40" s="2">
        <f t="shared" si="2"/>
        <v>78.179444444444442</v>
      </c>
      <c r="CO40" s="2">
        <f t="shared" si="2"/>
        <v>75.766944444444434</v>
      </c>
      <c r="CP40" s="2">
        <f t="shared" si="2"/>
        <v>77.027777777777786</v>
      </c>
      <c r="CQ40" s="2">
        <f t="shared" si="2"/>
        <v>76.254166666666663</v>
      </c>
      <c r="CR40" s="2">
        <f t="shared" si="2"/>
        <v>78.522500000000022</v>
      </c>
      <c r="CS40" s="2">
        <f t="shared" si="2"/>
        <v>77.753888888888881</v>
      </c>
      <c r="CT40" s="2">
        <f t="shared" si="2"/>
        <v>76.260555555555584</v>
      </c>
      <c r="CU40" s="2">
        <f t="shared" si="2"/>
        <v>78.48</v>
      </c>
      <c r="CV40" s="2">
        <f t="shared" si="2"/>
        <v>76.542222222222222</v>
      </c>
      <c r="CW40" s="2">
        <f t="shared" si="2"/>
        <v>77.055833333333325</v>
      </c>
      <c r="CX40" s="2">
        <f t="shared" si="0"/>
        <v>77.007286111111085</v>
      </c>
    </row>
    <row r="41" spans="1:102" x14ac:dyDescent="0.2">
      <c r="A41" s="3" t="s">
        <v>177</v>
      </c>
      <c r="B41" s="2">
        <f>MAX(B4:B39)</f>
        <v>84.11</v>
      </c>
      <c r="C41" s="2">
        <f t="shared" ref="C41:BN41" si="3">MAX(C4:C39)</f>
        <v>82.58</v>
      </c>
      <c r="D41" s="2">
        <f t="shared" si="3"/>
        <v>79.680000000000007</v>
      </c>
      <c r="E41" s="2">
        <f t="shared" si="3"/>
        <v>81.91</v>
      </c>
      <c r="F41" s="2">
        <f t="shared" si="3"/>
        <v>82.61</v>
      </c>
      <c r="G41" s="2">
        <f t="shared" si="3"/>
        <v>82.86</v>
      </c>
      <c r="H41" s="2">
        <f t="shared" si="3"/>
        <v>82.09</v>
      </c>
      <c r="I41" s="2">
        <f t="shared" si="3"/>
        <v>81.61</v>
      </c>
      <c r="J41" s="2">
        <f t="shared" si="3"/>
        <v>85.37</v>
      </c>
      <c r="K41" s="2">
        <f t="shared" si="3"/>
        <v>82.39</v>
      </c>
      <c r="L41" s="2">
        <f t="shared" si="3"/>
        <v>83.91</v>
      </c>
      <c r="M41" s="2">
        <f t="shared" si="3"/>
        <v>81.739999999999995</v>
      </c>
      <c r="N41" s="2">
        <f t="shared" si="3"/>
        <v>83.09</v>
      </c>
      <c r="O41" s="2">
        <f t="shared" si="3"/>
        <v>85.61</v>
      </c>
      <c r="P41" s="2">
        <f t="shared" si="3"/>
        <v>84.61</v>
      </c>
      <c r="Q41" s="2">
        <f t="shared" si="3"/>
        <v>83.84</v>
      </c>
      <c r="R41" s="2">
        <f t="shared" si="3"/>
        <v>84.22</v>
      </c>
      <c r="S41" s="2">
        <f t="shared" si="3"/>
        <v>84.26</v>
      </c>
      <c r="T41" s="2">
        <f t="shared" si="3"/>
        <v>80.83</v>
      </c>
      <c r="U41" s="2">
        <f t="shared" si="3"/>
        <v>82.75</v>
      </c>
      <c r="V41" s="2">
        <f t="shared" si="3"/>
        <v>84.02</v>
      </c>
      <c r="W41" s="2">
        <f t="shared" si="3"/>
        <v>81.3</v>
      </c>
      <c r="X41" s="2">
        <f t="shared" si="3"/>
        <v>84.05</v>
      </c>
      <c r="Y41" s="2">
        <f t="shared" si="3"/>
        <v>84.23</v>
      </c>
      <c r="Z41" s="2">
        <f t="shared" si="3"/>
        <v>80.599999999999994</v>
      </c>
      <c r="AA41" s="2">
        <f t="shared" si="3"/>
        <v>83.8</v>
      </c>
      <c r="AB41" s="2">
        <f t="shared" si="3"/>
        <v>82.55</v>
      </c>
      <c r="AC41" s="2">
        <f t="shared" si="3"/>
        <v>87.06</v>
      </c>
      <c r="AD41" s="2">
        <f t="shared" si="3"/>
        <v>85.7</v>
      </c>
      <c r="AE41" s="2">
        <f t="shared" si="3"/>
        <v>81.14</v>
      </c>
      <c r="AF41" s="2">
        <f t="shared" si="3"/>
        <v>85.34</v>
      </c>
      <c r="AG41" s="2">
        <f t="shared" si="3"/>
        <v>87.21</v>
      </c>
      <c r="AH41" s="2">
        <f t="shared" si="3"/>
        <v>83.38</v>
      </c>
      <c r="AI41" s="2">
        <f t="shared" si="3"/>
        <v>84.41</v>
      </c>
      <c r="AJ41" s="2">
        <f t="shared" si="3"/>
        <v>81.55</v>
      </c>
      <c r="AK41" s="2">
        <f t="shared" si="3"/>
        <v>83.05</v>
      </c>
      <c r="AL41" s="2">
        <f t="shared" si="3"/>
        <v>83.02</v>
      </c>
      <c r="AM41" s="2">
        <f t="shared" si="3"/>
        <v>81.19</v>
      </c>
      <c r="AN41" s="2">
        <f t="shared" si="3"/>
        <v>83.68</v>
      </c>
      <c r="AO41" s="2">
        <f t="shared" si="3"/>
        <v>83.52</v>
      </c>
      <c r="AP41" s="2">
        <f t="shared" si="3"/>
        <v>83.97</v>
      </c>
      <c r="AQ41" s="2">
        <f t="shared" si="3"/>
        <v>83.95</v>
      </c>
      <c r="AR41" s="2">
        <f t="shared" si="3"/>
        <v>81.96</v>
      </c>
      <c r="AS41" s="2">
        <f t="shared" si="3"/>
        <v>83.79</v>
      </c>
      <c r="AT41" s="2">
        <f t="shared" si="3"/>
        <v>80.98</v>
      </c>
      <c r="AU41" s="2">
        <f t="shared" si="3"/>
        <v>82.52</v>
      </c>
      <c r="AV41" s="2">
        <f t="shared" si="3"/>
        <v>83.08</v>
      </c>
      <c r="AW41" s="2">
        <f t="shared" si="3"/>
        <v>85.68</v>
      </c>
      <c r="AX41" s="2">
        <f t="shared" si="3"/>
        <v>85.13</v>
      </c>
      <c r="AY41" s="2">
        <f t="shared" si="3"/>
        <v>83.05</v>
      </c>
      <c r="AZ41" s="2">
        <f t="shared" si="3"/>
        <v>83</v>
      </c>
      <c r="BA41" s="2">
        <f t="shared" si="3"/>
        <v>81.599999999999994</v>
      </c>
      <c r="BB41" s="2">
        <f t="shared" si="3"/>
        <v>82.25</v>
      </c>
      <c r="BC41" s="2">
        <f t="shared" si="3"/>
        <v>84.11</v>
      </c>
      <c r="BD41" s="2">
        <f t="shared" si="3"/>
        <v>81.790000000000006</v>
      </c>
      <c r="BE41" s="2">
        <f t="shared" si="3"/>
        <v>82.9</v>
      </c>
      <c r="BF41" s="2">
        <f t="shared" si="3"/>
        <v>83.15</v>
      </c>
      <c r="BG41" s="2">
        <f t="shared" si="3"/>
        <v>83.51</v>
      </c>
      <c r="BH41" s="2">
        <f t="shared" si="3"/>
        <v>82.15</v>
      </c>
      <c r="BI41" s="2">
        <f t="shared" si="3"/>
        <v>81.599999999999994</v>
      </c>
      <c r="BJ41" s="2">
        <f t="shared" si="3"/>
        <v>84.26</v>
      </c>
      <c r="BK41" s="2">
        <f t="shared" si="3"/>
        <v>82.86</v>
      </c>
      <c r="BL41" s="2">
        <f t="shared" si="3"/>
        <v>83.52</v>
      </c>
      <c r="BM41" s="2">
        <f t="shared" si="3"/>
        <v>88.02</v>
      </c>
      <c r="BN41" s="2">
        <f t="shared" si="3"/>
        <v>84.1</v>
      </c>
      <c r="BO41" s="2">
        <f t="shared" ref="BO41:CX41" si="4">MAX(BO4:BO39)</f>
        <v>85.66</v>
      </c>
      <c r="BP41" s="2">
        <f t="shared" si="4"/>
        <v>88.09</v>
      </c>
      <c r="BQ41" s="2">
        <f t="shared" si="4"/>
        <v>84.24</v>
      </c>
      <c r="BR41" s="2">
        <f t="shared" si="4"/>
        <v>81.2</v>
      </c>
      <c r="BS41" s="2">
        <f t="shared" si="4"/>
        <v>82.8</v>
      </c>
      <c r="BT41" s="2">
        <f t="shared" si="4"/>
        <v>84.64</v>
      </c>
      <c r="BU41" s="2">
        <f t="shared" si="4"/>
        <v>84.64</v>
      </c>
      <c r="BV41" s="2">
        <f t="shared" si="4"/>
        <v>83.04</v>
      </c>
      <c r="BW41" s="2">
        <f t="shared" si="4"/>
        <v>80.28</v>
      </c>
      <c r="BX41" s="2">
        <f t="shared" si="4"/>
        <v>82.68</v>
      </c>
      <c r="BY41" s="2">
        <f t="shared" si="4"/>
        <v>84.86</v>
      </c>
      <c r="BZ41" s="2">
        <f t="shared" si="4"/>
        <v>83.83</v>
      </c>
      <c r="CA41" s="2">
        <f t="shared" si="4"/>
        <v>83.97</v>
      </c>
      <c r="CB41" s="2">
        <f t="shared" si="4"/>
        <v>85.91</v>
      </c>
      <c r="CC41" s="2">
        <f t="shared" si="4"/>
        <v>81.86</v>
      </c>
      <c r="CD41" s="2">
        <f t="shared" si="4"/>
        <v>83.79</v>
      </c>
      <c r="CE41" s="2">
        <f t="shared" si="4"/>
        <v>81.96</v>
      </c>
      <c r="CF41" s="2">
        <f t="shared" si="4"/>
        <v>82.64</v>
      </c>
      <c r="CG41" s="2">
        <f t="shared" si="4"/>
        <v>85.52</v>
      </c>
      <c r="CH41" s="2">
        <f t="shared" si="4"/>
        <v>83.06</v>
      </c>
      <c r="CI41" s="2">
        <f t="shared" si="4"/>
        <v>82.88</v>
      </c>
      <c r="CJ41" s="2">
        <f t="shared" si="4"/>
        <v>82.44</v>
      </c>
      <c r="CK41" s="2">
        <f t="shared" si="4"/>
        <v>82.58</v>
      </c>
      <c r="CL41" s="2">
        <f t="shared" si="4"/>
        <v>83.49</v>
      </c>
      <c r="CM41" s="2">
        <f t="shared" si="4"/>
        <v>84.69</v>
      </c>
      <c r="CN41" s="2">
        <f t="shared" si="4"/>
        <v>85.87</v>
      </c>
      <c r="CO41" s="2">
        <f t="shared" si="4"/>
        <v>82.82</v>
      </c>
      <c r="CP41" s="2">
        <f t="shared" si="4"/>
        <v>84.25</v>
      </c>
      <c r="CQ41" s="2">
        <f t="shared" si="4"/>
        <v>82.67</v>
      </c>
      <c r="CR41" s="2">
        <f t="shared" si="4"/>
        <v>85.11</v>
      </c>
      <c r="CS41" s="2">
        <f t="shared" si="4"/>
        <v>84.43</v>
      </c>
      <c r="CT41" s="2">
        <f t="shared" si="4"/>
        <v>81.95</v>
      </c>
      <c r="CU41" s="2">
        <f t="shared" si="4"/>
        <v>85.64</v>
      </c>
      <c r="CV41" s="2">
        <f t="shared" si="4"/>
        <v>84.39</v>
      </c>
      <c r="CW41" s="2">
        <f t="shared" si="4"/>
        <v>83.16</v>
      </c>
      <c r="CX41" s="2">
        <f t="shared" si="4"/>
        <v>77.845100000000016</v>
      </c>
    </row>
    <row r="42" spans="1:102" x14ac:dyDescent="0.2">
      <c r="A42" s="3" t="s">
        <v>178</v>
      </c>
      <c r="B42" s="2">
        <f>MIN(B4:B39)</f>
        <v>68.489999999999995</v>
      </c>
      <c r="C42" s="2">
        <f t="shared" ref="C42:BN42" si="5">MIN(C4:C39)</f>
        <v>68.040000000000006</v>
      </c>
      <c r="D42" s="2">
        <f t="shared" si="5"/>
        <v>70.290000000000006</v>
      </c>
      <c r="E42" s="2">
        <f t="shared" si="5"/>
        <v>70.02</v>
      </c>
      <c r="F42" s="2">
        <f t="shared" si="5"/>
        <v>69.66</v>
      </c>
      <c r="G42" s="2">
        <f t="shared" si="5"/>
        <v>69.849999999999994</v>
      </c>
      <c r="H42" s="2">
        <f t="shared" si="5"/>
        <v>72.28</v>
      </c>
      <c r="I42" s="2">
        <f t="shared" si="5"/>
        <v>69.34</v>
      </c>
      <c r="J42" s="2">
        <f t="shared" si="5"/>
        <v>66.62</v>
      </c>
      <c r="K42" s="2">
        <f t="shared" si="5"/>
        <v>72.25</v>
      </c>
      <c r="L42" s="2">
        <f t="shared" si="5"/>
        <v>69.05</v>
      </c>
      <c r="M42" s="2">
        <f t="shared" si="5"/>
        <v>68.23</v>
      </c>
      <c r="N42" s="2">
        <f t="shared" si="5"/>
        <v>68.319999999999993</v>
      </c>
      <c r="O42" s="2">
        <f t="shared" si="5"/>
        <v>71.84</v>
      </c>
      <c r="P42" s="2">
        <f t="shared" si="5"/>
        <v>67.73</v>
      </c>
      <c r="Q42" s="2">
        <f t="shared" si="5"/>
        <v>70.09</v>
      </c>
      <c r="R42" s="2">
        <f t="shared" si="5"/>
        <v>65.77</v>
      </c>
      <c r="S42" s="2">
        <f t="shared" si="5"/>
        <v>72.23</v>
      </c>
      <c r="T42" s="2">
        <f t="shared" si="5"/>
        <v>69.78</v>
      </c>
      <c r="U42" s="2">
        <f t="shared" si="5"/>
        <v>66.28</v>
      </c>
      <c r="V42" s="2">
        <f t="shared" si="5"/>
        <v>67</v>
      </c>
      <c r="W42" s="2">
        <f t="shared" si="5"/>
        <v>65.63</v>
      </c>
      <c r="X42" s="2">
        <f t="shared" si="5"/>
        <v>71.819999999999993</v>
      </c>
      <c r="Y42" s="2">
        <f t="shared" si="5"/>
        <v>69.81</v>
      </c>
      <c r="Z42" s="2">
        <f t="shared" si="5"/>
        <v>71.44</v>
      </c>
      <c r="AA42" s="2">
        <f t="shared" si="5"/>
        <v>69.010000000000005</v>
      </c>
      <c r="AB42" s="2">
        <f t="shared" si="5"/>
        <v>69.97</v>
      </c>
      <c r="AC42" s="2">
        <f t="shared" si="5"/>
        <v>70.48</v>
      </c>
      <c r="AD42" s="2">
        <f t="shared" si="5"/>
        <v>65.260000000000005</v>
      </c>
      <c r="AE42" s="2">
        <f t="shared" si="5"/>
        <v>69.12</v>
      </c>
      <c r="AF42" s="2">
        <f t="shared" si="5"/>
        <v>72.52</v>
      </c>
      <c r="AG42" s="2">
        <f t="shared" si="5"/>
        <v>66.59</v>
      </c>
      <c r="AH42" s="2">
        <f t="shared" si="5"/>
        <v>72.38</v>
      </c>
      <c r="AI42" s="2">
        <f t="shared" si="5"/>
        <v>70.569999999999993</v>
      </c>
      <c r="AJ42" s="2">
        <f t="shared" si="5"/>
        <v>70.17</v>
      </c>
      <c r="AK42" s="2">
        <f t="shared" si="5"/>
        <v>65.849999999999994</v>
      </c>
      <c r="AL42" s="2">
        <f t="shared" si="5"/>
        <v>73.45</v>
      </c>
      <c r="AM42" s="2">
        <f t="shared" si="5"/>
        <v>70.599999999999994</v>
      </c>
      <c r="AN42" s="2">
        <f t="shared" si="5"/>
        <v>69.180000000000007</v>
      </c>
      <c r="AO42" s="2">
        <f t="shared" si="5"/>
        <v>66.790000000000006</v>
      </c>
      <c r="AP42" s="2">
        <f t="shared" si="5"/>
        <v>67.8</v>
      </c>
      <c r="AQ42" s="2">
        <f t="shared" si="5"/>
        <v>69.94</v>
      </c>
      <c r="AR42" s="2">
        <f t="shared" si="5"/>
        <v>68.81</v>
      </c>
      <c r="AS42" s="2">
        <f t="shared" si="5"/>
        <v>70.239999999999995</v>
      </c>
      <c r="AT42" s="2">
        <f t="shared" si="5"/>
        <v>70.7</v>
      </c>
      <c r="AU42" s="2">
        <f t="shared" si="5"/>
        <v>70.040000000000006</v>
      </c>
      <c r="AV42" s="2">
        <f t="shared" si="5"/>
        <v>66.94</v>
      </c>
      <c r="AW42" s="2">
        <f t="shared" si="5"/>
        <v>70.69</v>
      </c>
      <c r="AX42" s="2">
        <f t="shared" si="5"/>
        <v>70.489999999999995</v>
      </c>
      <c r="AY42" s="2">
        <f t="shared" si="5"/>
        <v>69.540000000000006</v>
      </c>
      <c r="AZ42" s="2">
        <f t="shared" si="5"/>
        <v>69.17</v>
      </c>
      <c r="BA42" s="2">
        <f t="shared" si="5"/>
        <v>70.849999999999994</v>
      </c>
      <c r="BB42" s="2">
        <f t="shared" si="5"/>
        <v>68.42</v>
      </c>
      <c r="BC42" s="2">
        <f t="shared" si="5"/>
        <v>71.44</v>
      </c>
      <c r="BD42" s="2">
        <f t="shared" si="5"/>
        <v>68.45</v>
      </c>
      <c r="BE42" s="2">
        <f t="shared" si="5"/>
        <v>66.12</v>
      </c>
      <c r="BF42" s="2">
        <f t="shared" si="5"/>
        <v>68.959999999999994</v>
      </c>
      <c r="BG42" s="2">
        <f t="shared" si="5"/>
        <v>73.010000000000005</v>
      </c>
      <c r="BH42" s="2">
        <f t="shared" si="5"/>
        <v>69.73</v>
      </c>
      <c r="BI42" s="2">
        <f t="shared" si="5"/>
        <v>70.48</v>
      </c>
      <c r="BJ42" s="2">
        <f t="shared" si="5"/>
        <v>74.37</v>
      </c>
      <c r="BK42" s="2">
        <f t="shared" si="5"/>
        <v>70.95</v>
      </c>
      <c r="BL42" s="2">
        <f t="shared" si="5"/>
        <v>70.84</v>
      </c>
      <c r="BM42" s="2">
        <f t="shared" si="5"/>
        <v>69.11</v>
      </c>
      <c r="BN42" s="2">
        <f t="shared" si="5"/>
        <v>71.260000000000005</v>
      </c>
      <c r="BO42" s="2">
        <f t="shared" ref="BO42:CX42" si="6">MIN(BO4:BO39)</f>
        <v>69.849999999999994</v>
      </c>
      <c r="BP42" s="2">
        <f t="shared" si="6"/>
        <v>70.84</v>
      </c>
      <c r="BQ42" s="2">
        <f t="shared" si="6"/>
        <v>64.67</v>
      </c>
      <c r="BR42" s="2">
        <f t="shared" si="6"/>
        <v>70</v>
      </c>
      <c r="BS42" s="2">
        <f t="shared" si="6"/>
        <v>70.510000000000005</v>
      </c>
      <c r="BT42" s="2">
        <f t="shared" si="6"/>
        <v>72.400000000000006</v>
      </c>
      <c r="BU42" s="2">
        <f t="shared" si="6"/>
        <v>70.430000000000007</v>
      </c>
      <c r="BV42" s="2">
        <f t="shared" si="6"/>
        <v>71.34</v>
      </c>
      <c r="BW42" s="2">
        <f t="shared" si="6"/>
        <v>69.680000000000007</v>
      </c>
      <c r="BX42" s="2">
        <f t="shared" si="6"/>
        <v>70.510000000000005</v>
      </c>
      <c r="BY42" s="2">
        <f t="shared" si="6"/>
        <v>71.42</v>
      </c>
      <c r="BZ42" s="2">
        <f t="shared" si="6"/>
        <v>68.53</v>
      </c>
      <c r="CA42" s="2">
        <f t="shared" si="6"/>
        <v>70.790000000000006</v>
      </c>
      <c r="CB42" s="2">
        <f t="shared" si="6"/>
        <v>66.510000000000005</v>
      </c>
      <c r="CC42" s="2">
        <f t="shared" si="6"/>
        <v>71.23</v>
      </c>
      <c r="CD42" s="2">
        <f t="shared" si="6"/>
        <v>71.67</v>
      </c>
      <c r="CE42" s="2">
        <f t="shared" si="6"/>
        <v>69.92</v>
      </c>
      <c r="CF42" s="2">
        <f t="shared" si="6"/>
        <v>66.7</v>
      </c>
      <c r="CG42" s="2">
        <f t="shared" si="6"/>
        <v>73.349999999999994</v>
      </c>
      <c r="CH42" s="2">
        <f t="shared" si="6"/>
        <v>71.790000000000006</v>
      </c>
      <c r="CI42" s="2">
        <f t="shared" si="6"/>
        <v>71.45</v>
      </c>
      <c r="CJ42" s="2">
        <f t="shared" si="6"/>
        <v>72.47</v>
      </c>
      <c r="CK42" s="2">
        <f t="shared" si="6"/>
        <v>68.709999999999994</v>
      </c>
      <c r="CL42" s="2">
        <f t="shared" si="6"/>
        <v>70.61</v>
      </c>
      <c r="CM42" s="2">
        <f t="shared" si="6"/>
        <v>68.94</v>
      </c>
      <c r="CN42" s="2">
        <f t="shared" si="6"/>
        <v>73.78</v>
      </c>
      <c r="CO42" s="2">
        <f t="shared" si="6"/>
        <v>69.180000000000007</v>
      </c>
      <c r="CP42" s="2">
        <f t="shared" si="6"/>
        <v>72.06</v>
      </c>
      <c r="CQ42" s="2">
        <f t="shared" si="6"/>
        <v>69.39</v>
      </c>
      <c r="CR42" s="2">
        <f t="shared" si="6"/>
        <v>68.23</v>
      </c>
      <c r="CS42" s="2">
        <f t="shared" si="6"/>
        <v>72.19</v>
      </c>
      <c r="CT42" s="2">
        <f t="shared" si="6"/>
        <v>68.72</v>
      </c>
      <c r="CU42" s="2">
        <f t="shared" si="6"/>
        <v>70.260000000000005</v>
      </c>
      <c r="CV42" s="2">
        <f t="shared" si="6"/>
        <v>68.73</v>
      </c>
      <c r="CW42" s="2">
        <f t="shared" si="6"/>
        <v>70.489999999999995</v>
      </c>
      <c r="CX42" s="2">
        <f t="shared" si="6"/>
        <v>76.179500000000004</v>
      </c>
    </row>
    <row r="43" spans="1:102" x14ac:dyDescent="0.2">
      <c r="A43" s="3" t="s">
        <v>179</v>
      </c>
      <c r="B43" s="2">
        <f>B41-B42</f>
        <v>15.620000000000005</v>
      </c>
      <c r="C43" s="2">
        <f t="shared" ref="C43:BN43" si="7">C41-C42</f>
        <v>14.539999999999992</v>
      </c>
      <c r="D43" s="2">
        <f t="shared" si="7"/>
        <v>9.39</v>
      </c>
      <c r="E43" s="2">
        <f t="shared" si="7"/>
        <v>11.89</v>
      </c>
      <c r="F43" s="2">
        <f t="shared" si="7"/>
        <v>12.950000000000003</v>
      </c>
      <c r="G43" s="2">
        <f t="shared" si="7"/>
        <v>13.010000000000005</v>
      </c>
      <c r="H43" s="2">
        <f t="shared" si="7"/>
        <v>9.8100000000000023</v>
      </c>
      <c r="I43" s="2">
        <f t="shared" si="7"/>
        <v>12.269999999999996</v>
      </c>
      <c r="J43" s="2">
        <f t="shared" si="7"/>
        <v>18.75</v>
      </c>
      <c r="K43" s="2">
        <f t="shared" si="7"/>
        <v>10.14</v>
      </c>
      <c r="L43" s="2">
        <f t="shared" si="7"/>
        <v>14.86</v>
      </c>
      <c r="M43" s="2">
        <f t="shared" si="7"/>
        <v>13.509999999999991</v>
      </c>
      <c r="N43" s="2">
        <f t="shared" si="7"/>
        <v>14.77000000000001</v>
      </c>
      <c r="O43" s="2">
        <f t="shared" si="7"/>
        <v>13.769999999999996</v>
      </c>
      <c r="P43" s="2">
        <f t="shared" si="7"/>
        <v>16.879999999999995</v>
      </c>
      <c r="Q43" s="2">
        <f t="shared" si="7"/>
        <v>13.75</v>
      </c>
      <c r="R43" s="2">
        <f t="shared" si="7"/>
        <v>18.450000000000003</v>
      </c>
      <c r="S43" s="2">
        <f t="shared" si="7"/>
        <v>12.030000000000001</v>
      </c>
      <c r="T43" s="2">
        <f t="shared" si="7"/>
        <v>11.049999999999997</v>
      </c>
      <c r="U43" s="2">
        <f t="shared" si="7"/>
        <v>16.47</v>
      </c>
      <c r="V43" s="2">
        <f t="shared" si="7"/>
        <v>17.019999999999996</v>
      </c>
      <c r="W43" s="2">
        <f t="shared" si="7"/>
        <v>15.670000000000002</v>
      </c>
      <c r="X43" s="2">
        <f t="shared" si="7"/>
        <v>12.230000000000004</v>
      </c>
      <c r="Y43" s="2">
        <f t="shared" si="7"/>
        <v>14.420000000000002</v>
      </c>
      <c r="Z43" s="2">
        <f t="shared" si="7"/>
        <v>9.1599999999999966</v>
      </c>
      <c r="AA43" s="2">
        <f t="shared" si="7"/>
        <v>14.789999999999992</v>
      </c>
      <c r="AB43" s="2">
        <f t="shared" si="7"/>
        <v>12.579999999999998</v>
      </c>
      <c r="AC43" s="2">
        <f t="shared" si="7"/>
        <v>16.579999999999998</v>
      </c>
      <c r="AD43" s="2">
        <f t="shared" si="7"/>
        <v>20.439999999999998</v>
      </c>
      <c r="AE43" s="2">
        <f t="shared" si="7"/>
        <v>12.019999999999996</v>
      </c>
      <c r="AF43" s="2">
        <f t="shared" si="7"/>
        <v>12.820000000000007</v>
      </c>
      <c r="AG43" s="2">
        <f t="shared" si="7"/>
        <v>20.61999999999999</v>
      </c>
      <c r="AH43" s="2">
        <f t="shared" si="7"/>
        <v>11</v>
      </c>
      <c r="AI43" s="2">
        <f t="shared" si="7"/>
        <v>13.840000000000003</v>
      </c>
      <c r="AJ43" s="2">
        <f t="shared" si="7"/>
        <v>11.379999999999995</v>
      </c>
      <c r="AK43" s="2">
        <f t="shared" si="7"/>
        <v>17.200000000000003</v>
      </c>
      <c r="AL43" s="2">
        <f t="shared" si="7"/>
        <v>9.5699999999999932</v>
      </c>
      <c r="AM43" s="2">
        <f t="shared" si="7"/>
        <v>10.590000000000003</v>
      </c>
      <c r="AN43" s="2">
        <f t="shared" si="7"/>
        <v>14.5</v>
      </c>
      <c r="AO43" s="2">
        <f t="shared" si="7"/>
        <v>16.72999999999999</v>
      </c>
      <c r="AP43" s="2">
        <f t="shared" si="7"/>
        <v>16.170000000000002</v>
      </c>
      <c r="AQ43" s="2">
        <f t="shared" si="7"/>
        <v>14.010000000000005</v>
      </c>
      <c r="AR43" s="2">
        <f t="shared" si="7"/>
        <v>13.149999999999991</v>
      </c>
      <c r="AS43" s="2">
        <f t="shared" si="7"/>
        <v>13.550000000000011</v>
      </c>
      <c r="AT43" s="2">
        <f t="shared" si="7"/>
        <v>10.280000000000001</v>
      </c>
      <c r="AU43" s="2">
        <f t="shared" si="7"/>
        <v>12.47999999999999</v>
      </c>
      <c r="AV43" s="2">
        <f t="shared" si="7"/>
        <v>16.14</v>
      </c>
      <c r="AW43" s="2">
        <f t="shared" si="7"/>
        <v>14.990000000000009</v>
      </c>
      <c r="AX43" s="2">
        <f t="shared" si="7"/>
        <v>14.64</v>
      </c>
      <c r="AY43" s="2">
        <f t="shared" si="7"/>
        <v>13.509999999999991</v>
      </c>
      <c r="AZ43" s="2">
        <f t="shared" si="7"/>
        <v>13.829999999999998</v>
      </c>
      <c r="BA43" s="2">
        <f t="shared" si="7"/>
        <v>10.75</v>
      </c>
      <c r="BB43" s="2">
        <f t="shared" si="7"/>
        <v>13.829999999999998</v>
      </c>
      <c r="BC43" s="2">
        <f t="shared" si="7"/>
        <v>12.670000000000002</v>
      </c>
      <c r="BD43" s="2">
        <f t="shared" si="7"/>
        <v>13.340000000000003</v>
      </c>
      <c r="BE43" s="2">
        <f t="shared" si="7"/>
        <v>16.78</v>
      </c>
      <c r="BF43" s="2">
        <f t="shared" si="7"/>
        <v>14.190000000000012</v>
      </c>
      <c r="BG43" s="2">
        <f t="shared" si="7"/>
        <v>10.5</v>
      </c>
      <c r="BH43" s="2">
        <f t="shared" si="7"/>
        <v>12.420000000000002</v>
      </c>
      <c r="BI43" s="2">
        <f t="shared" si="7"/>
        <v>11.11999999999999</v>
      </c>
      <c r="BJ43" s="2">
        <f t="shared" si="7"/>
        <v>9.89</v>
      </c>
      <c r="BK43" s="2">
        <f t="shared" si="7"/>
        <v>11.909999999999997</v>
      </c>
      <c r="BL43" s="2">
        <f t="shared" si="7"/>
        <v>12.679999999999993</v>
      </c>
      <c r="BM43" s="2">
        <f t="shared" si="7"/>
        <v>18.909999999999997</v>
      </c>
      <c r="BN43" s="2">
        <f t="shared" si="7"/>
        <v>12.839999999999989</v>
      </c>
      <c r="BO43" s="2">
        <f t="shared" ref="BO43:CX43" si="8">BO41-BO42</f>
        <v>15.810000000000002</v>
      </c>
      <c r="BP43" s="2">
        <f t="shared" si="8"/>
        <v>17.25</v>
      </c>
      <c r="BQ43" s="2">
        <f t="shared" si="8"/>
        <v>19.569999999999993</v>
      </c>
      <c r="BR43" s="2">
        <f t="shared" si="8"/>
        <v>11.200000000000003</v>
      </c>
      <c r="BS43" s="2">
        <f t="shared" si="8"/>
        <v>12.289999999999992</v>
      </c>
      <c r="BT43" s="2">
        <f t="shared" si="8"/>
        <v>12.239999999999995</v>
      </c>
      <c r="BU43" s="2">
        <f t="shared" si="8"/>
        <v>14.209999999999994</v>
      </c>
      <c r="BV43" s="2">
        <f t="shared" si="8"/>
        <v>11.700000000000003</v>
      </c>
      <c r="BW43" s="2">
        <f t="shared" si="8"/>
        <v>10.599999999999994</v>
      </c>
      <c r="BX43" s="2">
        <f t="shared" si="8"/>
        <v>12.170000000000002</v>
      </c>
      <c r="BY43" s="2">
        <f t="shared" si="8"/>
        <v>13.439999999999998</v>
      </c>
      <c r="BZ43" s="2">
        <f t="shared" si="8"/>
        <v>15.299999999999997</v>
      </c>
      <c r="CA43" s="2">
        <f t="shared" si="8"/>
        <v>13.179999999999993</v>
      </c>
      <c r="CB43" s="2">
        <f t="shared" si="8"/>
        <v>19.399999999999991</v>
      </c>
      <c r="CC43" s="2">
        <f t="shared" si="8"/>
        <v>10.629999999999995</v>
      </c>
      <c r="CD43" s="2">
        <f t="shared" si="8"/>
        <v>12.120000000000005</v>
      </c>
      <c r="CE43" s="2">
        <f t="shared" si="8"/>
        <v>12.039999999999992</v>
      </c>
      <c r="CF43" s="2">
        <f t="shared" si="8"/>
        <v>15.939999999999998</v>
      </c>
      <c r="CG43" s="2">
        <f t="shared" si="8"/>
        <v>12.170000000000002</v>
      </c>
      <c r="CH43" s="2">
        <f t="shared" si="8"/>
        <v>11.269999999999996</v>
      </c>
      <c r="CI43" s="2">
        <f t="shared" si="8"/>
        <v>11.429999999999993</v>
      </c>
      <c r="CJ43" s="2">
        <f t="shared" si="8"/>
        <v>9.9699999999999989</v>
      </c>
      <c r="CK43" s="2">
        <f t="shared" si="8"/>
        <v>13.870000000000005</v>
      </c>
      <c r="CL43" s="2">
        <f t="shared" si="8"/>
        <v>12.879999999999995</v>
      </c>
      <c r="CM43" s="2">
        <f t="shared" si="8"/>
        <v>15.75</v>
      </c>
      <c r="CN43" s="2">
        <f t="shared" si="8"/>
        <v>12.090000000000003</v>
      </c>
      <c r="CO43" s="2">
        <f t="shared" si="8"/>
        <v>13.639999999999986</v>
      </c>
      <c r="CP43" s="2">
        <f t="shared" si="8"/>
        <v>12.189999999999998</v>
      </c>
      <c r="CQ43" s="2">
        <f t="shared" si="8"/>
        <v>13.280000000000001</v>
      </c>
      <c r="CR43" s="2">
        <f t="shared" si="8"/>
        <v>16.879999999999995</v>
      </c>
      <c r="CS43" s="2">
        <f t="shared" si="8"/>
        <v>12.240000000000009</v>
      </c>
      <c r="CT43" s="2">
        <f t="shared" si="8"/>
        <v>13.230000000000004</v>
      </c>
      <c r="CU43" s="2">
        <f t="shared" si="8"/>
        <v>15.379999999999995</v>
      </c>
      <c r="CV43" s="2">
        <f t="shared" si="8"/>
        <v>15.659999999999997</v>
      </c>
      <c r="CW43" s="2">
        <f t="shared" si="8"/>
        <v>12.670000000000002</v>
      </c>
      <c r="CX43" s="2">
        <f t="shared" si="8"/>
        <v>1.665600000000012</v>
      </c>
    </row>
    <row r="44" spans="1:102" x14ac:dyDescent="0.2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 x14ac:dyDescent="0.2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5"/>
      <c r="CX45" s="2"/>
    </row>
    <row r="46" spans="1:102" x14ac:dyDescent="0.2">
      <c r="A46" s="3" t="s">
        <v>3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CX46" s="2"/>
    </row>
    <row r="47" spans="1:102" x14ac:dyDescent="0.2">
      <c r="A47" s="3" t="s">
        <v>15</v>
      </c>
      <c r="B47" s="2">
        <f>AVERAGE(B4:B6)</f>
        <v>77.343333333333334</v>
      </c>
      <c r="C47" s="2">
        <f t="shared" ref="C47:BN47" si="9">AVERAGE(C4:C6)</f>
        <v>74.56</v>
      </c>
      <c r="D47" s="2">
        <f t="shared" si="9"/>
        <v>74.843333333333348</v>
      </c>
      <c r="E47" s="2">
        <f t="shared" si="9"/>
        <v>76.029999999999987</v>
      </c>
      <c r="F47" s="2">
        <f t="shared" si="9"/>
        <v>80.583333333333329</v>
      </c>
      <c r="G47" s="2">
        <f t="shared" si="9"/>
        <v>75.923333333333332</v>
      </c>
      <c r="H47" s="2">
        <f t="shared" si="9"/>
        <v>78.556666666666658</v>
      </c>
      <c r="I47" s="2">
        <f t="shared" si="9"/>
        <v>72.473333333333343</v>
      </c>
      <c r="J47" s="2">
        <f t="shared" si="9"/>
        <v>80.666666666666671</v>
      </c>
      <c r="K47" s="2">
        <f t="shared" si="9"/>
        <v>77.06</v>
      </c>
      <c r="L47" s="2">
        <f t="shared" si="9"/>
        <v>79.463333333333324</v>
      </c>
      <c r="M47" s="2">
        <f t="shared" si="9"/>
        <v>76.063333333333333</v>
      </c>
      <c r="N47" s="2">
        <f t="shared" si="9"/>
        <v>80.076666666666668</v>
      </c>
      <c r="O47" s="2">
        <f t="shared" si="9"/>
        <v>75.263333333333335</v>
      </c>
      <c r="P47" s="2">
        <f t="shared" si="9"/>
        <v>75.90666666666668</v>
      </c>
      <c r="Q47" s="2">
        <f t="shared" si="9"/>
        <v>76.199999999999989</v>
      </c>
      <c r="R47" s="2">
        <f t="shared" si="9"/>
        <v>77.489999999999995</v>
      </c>
      <c r="S47" s="2">
        <f t="shared" si="9"/>
        <v>74.823333333333338</v>
      </c>
      <c r="T47" s="2">
        <f t="shared" si="9"/>
        <v>76.523333333333326</v>
      </c>
      <c r="U47" s="2">
        <f t="shared" si="9"/>
        <v>78.963333333333324</v>
      </c>
      <c r="V47" s="2">
        <f t="shared" si="9"/>
        <v>80.976666666666674</v>
      </c>
      <c r="W47" s="2">
        <f t="shared" si="9"/>
        <v>73.736666666666665</v>
      </c>
      <c r="X47" s="2">
        <f t="shared" si="9"/>
        <v>78.03</v>
      </c>
      <c r="Y47" s="2">
        <f t="shared" si="9"/>
        <v>75.2</v>
      </c>
      <c r="Z47" s="2">
        <f t="shared" si="9"/>
        <v>76.039999999999992</v>
      </c>
      <c r="AA47" s="2">
        <f t="shared" si="9"/>
        <v>72.34666666666665</v>
      </c>
      <c r="AB47" s="2">
        <f t="shared" si="9"/>
        <v>79.186666666666667</v>
      </c>
      <c r="AC47" s="2">
        <f t="shared" si="9"/>
        <v>75.790000000000006</v>
      </c>
      <c r="AD47" s="2">
        <f t="shared" si="9"/>
        <v>81.430000000000007</v>
      </c>
      <c r="AE47" s="2">
        <f t="shared" si="9"/>
        <v>74.093333333333334</v>
      </c>
      <c r="AF47" s="2">
        <f t="shared" si="9"/>
        <v>76.08</v>
      </c>
      <c r="AG47" s="2">
        <f t="shared" si="9"/>
        <v>75.75</v>
      </c>
      <c r="AH47" s="2">
        <f t="shared" si="9"/>
        <v>78.36</v>
      </c>
      <c r="AI47" s="2">
        <f t="shared" si="9"/>
        <v>79.576666666666668</v>
      </c>
      <c r="AJ47" s="2">
        <f t="shared" si="9"/>
        <v>75.343333333333348</v>
      </c>
      <c r="AK47" s="2">
        <f t="shared" si="9"/>
        <v>78.983333333333334</v>
      </c>
      <c r="AL47" s="2">
        <f t="shared" si="9"/>
        <v>79.483333333333334</v>
      </c>
      <c r="AM47" s="2">
        <f t="shared" si="9"/>
        <v>79.010000000000005</v>
      </c>
      <c r="AN47" s="2">
        <f t="shared" si="9"/>
        <v>76.25</v>
      </c>
      <c r="AO47" s="2">
        <f t="shared" si="9"/>
        <v>74.476666666666659</v>
      </c>
      <c r="AP47" s="2">
        <f t="shared" si="9"/>
        <v>79.553333333333342</v>
      </c>
      <c r="AQ47" s="2">
        <f t="shared" si="9"/>
        <v>74.583333333333329</v>
      </c>
      <c r="AR47" s="2">
        <f t="shared" si="9"/>
        <v>75.893333333333331</v>
      </c>
      <c r="AS47" s="2">
        <f t="shared" si="9"/>
        <v>76.466666666666654</v>
      </c>
      <c r="AT47" s="2">
        <f t="shared" si="9"/>
        <v>75.61333333333333</v>
      </c>
      <c r="AU47" s="2">
        <f t="shared" si="9"/>
        <v>79.326666666666668</v>
      </c>
      <c r="AV47" s="2">
        <f t="shared" si="9"/>
        <v>72.77</v>
      </c>
      <c r="AW47" s="2">
        <f t="shared" si="9"/>
        <v>74.790000000000006</v>
      </c>
      <c r="AX47" s="2">
        <f t="shared" si="9"/>
        <v>74.48</v>
      </c>
      <c r="AY47" s="2">
        <f t="shared" si="9"/>
        <v>78.963333333333324</v>
      </c>
      <c r="AZ47" s="2">
        <f t="shared" si="9"/>
        <v>77.63</v>
      </c>
      <c r="BA47" s="2">
        <f t="shared" si="9"/>
        <v>76.459999999999994</v>
      </c>
      <c r="BB47" s="2">
        <f t="shared" si="9"/>
        <v>77.513333333333335</v>
      </c>
      <c r="BC47" s="2">
        <f t="shared" si="9"/>
        <v>82.543333333333337</v>
      </c>
      <c r="BD47" s="2">
        <f t="shared" si="9"/>
        <v>75.506666666666661</v>
      </c>
      <c r="BE47" s="2">
        <f t="shared" si="9"/>
        <v>76.353333333333339</v>
      </c>
      <c r="BF47" s="2">
        <f t="shared" si="9"/>
        <v>76.093333333333348</v>
      </c>
      <c r="BG47" s="2">
        <f t="shared" si="9"/>
        <v>80.916666666666671</v>
      </c>
      <c r="BH47" s="2">
        <f t="shared" si="9"/>
        <v>77.850000000000009</v>
      </c>
      <c r="BI47" s="2">
        <f t="shared" si="9"/>
        <v>76.75</v>
      </c>
      <c r="BJ47" s="2">
        <f t="shared" si="9"/>
        <v>81.453333333333333</v>
      </c>
      <c r="BK47" s="2">
        <f t="shared" si="9"/>
        <v>79.593333333333334</v>
      </c>
      <c r="BL47" s="2">
        <f t="shared" si="9"/>
        <v>79.506666666666661</v>
      </c>
      <c r="BM47" s="2">
        <f t="shared" si="9"/>
        <v>80.903333333333336</v>
      </c>
      <c r="BN47" s="2">
        <f t="shared" si="9"/>
        <v>79.056666666666672</v>
      </c>
      <c r="BO47" s="2">
        <f t="shared" ref="BO47:CW47" si="10">AVERAGE(BO4:BO6)</f>
        <v>75.77</v>
      </c>
      <c r="BP47" s="2">
        <f t="shared" si="10"/>
        <v>74.656666666666666</v>
      </c>
      <c r="BQ47" s="2">
        <f t="shared" si="10"/>
        <v>79.626666666666665</v>
      </c>
      <c r="BR47" s="2">
        <f t="shared" si="10"/>
        <v>78.41</v>
      </c>
      <c r="BS47" s="2">
        <f t="shared" si="10"/>
        <v>75.956666666666663</v>
      </c>
      <c r="BT47" s="2">
        <f t="shared" si="10"/>
        <v>78.459999999999994</v>
      </c>
      <c r="BU47" s="2">
        <f t="shared" si="10"/>
        <v>80.639999999999986</v>
      </c>
      <c r="BV47" s="2">
        <f t="shared" si="10"/>
        <v>77.033333333333331</v>
      </c>
      <c r="BW47" s="2">
        <f t="shared" si="10"/>
        <v>76.89</v>
      </c>
      <c r="BX47" s="2">
        <f t="shared" si="10"/>
        <v>79.106666666666669</v>
      </c>
      <c r="BY47" s="2">
        <f t="shared" si="10"/>
        <v>76.709999999999994</v>
      </c>
      <c r="BZ47" s="2">
        <f t="shared" si="10"/>
        <v>77.213333333333324</v>
      </c>
      <c r="CA47" s="2">
        <f t="shared" si="10"/>
        <v>78.033333333333346</v>
      </c>
      <c r="CB47" s="2">
        <f t="shared" si="10"/>
        <v>77.993333333333325</v>
      </c>
      <c r="CC47" s="2">
        <f t="shared" si="10"/>
        <v>78.056666666666658</v>
      </c>
      <c r="CD47" s="2">
        <f t="shared" si="10"/>
        <v>78.280000000000015</v>
      </c>
      <c r="CE47" s="2">
        <f t="shared" si="10"/>
        <v>74.12</v>
      </c>
      <c r="CF47" s="2">
        <f t="shared" si="10"/>
        <v>75.206666666666663</v>
      </c>
      <c r="CG47" s="2">
        <f t="shared" si="10"/>
        <v>75.396666666666661</v>
      </c>
      <c r="CH47" s="2">
        <f t="shared" si="10"/>
        <v>78.33</v>
      </c>
      <c r="CI47" s="2">
        <f t="shared" si="10"/>
        <v>74.976666666666674</v>
      </c>
      <c r="CJ47" s="2">
        <f t="shared" si="10"/>
        <v>76.883333333333326</v>
      </c>
      <c r="CK47" s="2">
        <f t="shared" si="10"/>
        <v>71.213333333333324</v>
      </c>
      <c r="CL47" s="2">
        <f t="shared" si="10"/>
        <v>77.959999999999994</v>
      </c>
      <c r="CM47" s="2">
        <f t="shared" si="10"/>
        <v>72.766666666666666</v>
      </c>
      <c r="CN47" s="2">
        <f t="shared" si="10"/>
        <v>76.94</v>
      </c>
      <c r="CO47" s="2">
        <f t="shared" si="10"/>
        <v>72.066666666666677</v>
      </c>
      <c r="CP47" s="2">
        <f t="shared" si="10"/>
        <v>73.893333333333331</v>
      </c>
      <c r="CQ47" s="2">
        <f t="shared" si="10"/>
        <v>73.603333333333339</v>
      </c>
      <c r="CR47" s="2">
        <f t="shared" si="10"/>
        <v>80.17</v>
      </c>
      <c r="CS47" s="2">
        <f t="shared" si="10"/>
        <v>75.94</v>
      </c>
      <c r="CT47" s="2">
        <f t="shared" si="10"/>
        <v>76.326666666666668</v>
      </c>
      <c r="CU47" s="2">
        <f t="shared" si="10"/>
        <v>78.876666666666665</v>
      </c>
      <c r="CV47" s="2">
        <f t="shared" si="10"/>
        <v>76.113333333333344</v>
      </c>
      <c r="CW47" s="2">
        <f t="shared" si="10"/>
        <v>80.55</v>
      </c>
      <c r="CX47" s="2">
        <f t="shared" si="0"/>
        <v>77.036966666666672</v>
      </c>
    </row>
    <row r="48" spans="1:102" x14ac:dyDescent="0.2">
      <c r="A48" s="3" t="s">
        <v>16</v>
      </c>
      <c r="B48" s="2">
        <f>AVERAGE(B7:B9)</f>
        <v>80.523333333333326</v>
      </c>
      <c r="C48" s="2">
        <f t="shared" ref="C48:BN48" si="11">AVERAGE(C7:C9)</f>
        <v>73.839999999999989</v>
      </c>
      <c r="D48" s="2">
        <f t="shared" si="11"/>
        <v>72.81</v>
      </c>
      <c r="E48" s="2">
        <f t="shared" si="11"/>
        <v>78.19</v>
      </c>
      <c r="F48" s="2">
        <f t="shared" si="11"/>
        <v>78.603333333333339</v>
      </c>
      <c r="G48" s="2">
        <f t="shared" si="11"/>
        <v>75.556666666666672</v>
      </c>
      <c r="H48" s="2">
        <f t="shared" si="11"/>
        <v>75.303333333333327</v>
      </c>
      <c r="I48" s="2">
        <f t="shared" si="11"/>
        <v>74.856666666666669</v>
      </c>
      <c r="J48" s="2">
        <f t="shared" si="11"/>
        <v>79.75333333333333</v>
      </c>
      <c r="K48" s="2">
        <f t="shared" si="11"/>
        <v>73.003333333333345</v>
      </c>
      <c r="L48" s="2">
        <f t="shared" si="11"/>
        <v>78.683333333333337</v>
      </c>
      <c r="M48" s="2">
        <f t="shared" si="11"/>
        <v>72.850000000000009</v>
      </c>
      <c r="N48" s="2">
        <f t="shared" si="11"/>
        <v>78.33</v>
      </c>
      <c r="O48" s="2">
        <f t="shared" si="11"/>
        <v>75.40666666666668</v>
      </c>
      <c r="P48" s="2">
        <f t="shared" si="11"/>
        <v>78.14</v>
      </c>
      <c r="Q48" s="2">
        <f t="shared" si="11"/>
        <v>77.88333333333334</v>
      </c>
      <c r="R48" s="2">
        <f t="shared" si="11"/>
        <v>77.86666666666666</v>
      </c>
      <c r="S48" s="2">
        <f t="shared" si="11"/>
        <v>80.206666666666663</v>
      </c>
      <c r="T48" s="2">
        <f t="shared" si="11"/>
        <v>75.593333333333334</v>
      </c>
      <c r="U48" s="2">
        <f t="shared" si="11"/>
        <v>74.126666666666665</v>
      </c>
      <c r="V48" s="2">
        <f t="shared" si="11"/>
        <v>78.850000000000009</v>
      </c>
      <c r="W48" s="2">
        <f t="shared" si="11"/>
        <v>75.42</v>
      </c>
      <c r="X48" s="2">
        <f t="shared" si="11"/>
        <v>76.813333333333333</v>
      </c>
      <c r="Y48" s="2">
        <f t="shared" si="11"/>
        <v>74.476666666666674</v>
      </c>
      <c r="Z48" s="2">
        <f t="shared" si="11"/>
        <v>73.67</v>
      </c>
      <c r="AA48" s="2">
        <f t="shared" si="11"/>
        <v>76.836666666666659</v>
      </c>
      <c r="AB48" s="2">
        <f t="shared" si="11"/>
        <v>73.766666666666666</v>
      </c>
      <c r="AC48" s="2">
        <f t="shared" si="11"/>
        <v>76.936666666666667</v>
      </c>
      <c r="AD48" s="2">
        <f t="shared" si="11"/>
        <v>82.243333333333325</v>
      </c>
      <c r="AE48" s="2">
        <f t="shared" si="11"/>
        <v>77.723333333333343</v>
      </c>
      <c r="AF48" s="2">
        <f t="shared" si="11"/>
        <v>77.65333333333335</v>
      </c>
      <c r="AG48" s="2">
        <f t="shared" si="11"/>
        <v>77.27</v>
      </c>
      <c r="AH48" s="2">
        <f t="shared" si="11"/>
        <v>83.17</v>
      </c>
      <c r="AI48" s="2">
        <f t="shared" si="11"/>
        <v>75.606666666666669</v>
      </c>
      <c r="AJ48" s="2">
        <f t="shared" si="11"/>
        <v>77.050000000000011</v>
      </c>
      <c r="AK48" s="2">
        <f t="shared" si="11"/>
        <v>78.00333333333333</v>
      </c>
      <c r="AL48" s="2">
        <f t="shared" si="11"/>
        <v>78.11</v>
      </c>
      <c r="AM48" s="2">
        <f t="shared" si="11"/>
        <v>76.176666666666662</v>
      </c>
      <c r="AN48" s="2">
        <f t="shared" si="11"/>
        <v>71.73</v>
      </c>
      <c r="AO48" s="2">
        <f t="shared" si="11"/>
        <v>78.31</v>
      </c>
      <c r="AP48" s="2">
        <f t="shared" si="11"/>
        <v>81.346666666666678</v>
      </c>
      <c r="AQ48" s="2">
        <f t="shared" si="11"/>
        <v>74.83</v>
      </c>
      <c r="AR48" s="2">
        <f t="shared" si="11"/>
        <v>76.303333333333327</v>
      </c>
      <c r="AS48" s="2">
        <f t="shared" si="11"/>
        <v>75.983333333333334</v>
      </c>
      <c r="AT48" s="2">
        <f t="shared" si="11"/>
        <v>75.026666666666671</v>
      </c>
      <c r="AU48" s="2">
        <f t="shared" si="11"/>
        <v>73.516666666666666</v>
      </c>
      <c r="AV48" s="2">
        <f t="shared" si="11"/>
        <v>71.779999999999987</v>
      </c>
      <c r="AW48" s="2">
        <f t="shared" si="11"/>
        <v>78.760000000000005</v>
      </c>
      <c r="AX48" s="2">
        <f t="shared" si="11"/>
        <v>79</v>
      </c>
      <c r="AY48" s="2">
        <f t="shared" si="11"/>
        <v>82.15666666666668</v>
      </c>
      <c r="AZ48" s="2">
        <f t="shared" si="11"/>
        <v>79.850000000000009</v>
      </c>
      <c r="BA48" s="2">
        <f t="shared" si="11"/>
        <v>75.813333333333333</v>
      </c>
      <c r="BB48" s="2">
        <f t="shared" si="11"/>
        <v>75.576666666666668</v>
      </c>
      <c r="BC48" s="2">
        <f t="shared" si="11"/>
        <v>77.423333333333332</v>
      </c>
      <c r="BD48" s="2">
        <f t="shared" si="11"/>
        <v>76.623333333333335</v>
      </c>
      <c r="BE48" s="2">
        <f t="shared" si="11"/>
        <v>76.179999999999993</v>
      </c>
      <c r="BF48" s="2">
        <f t="shared" si="11"/>
        <v>73.976666666666674</v>
      </c>
      <c r="BG48" s="2">
        <f t="shared" si="11"/>
        <v>81.493333333333339</v>
      </c>
      <c r="BH48" s="2">
        <f t="shared" si="11"/>
        <v>79.586666666666659</v>
      </c>
      <c r="BI48" s="2">
        <f t="shared" si="11"/>
        <v>73.39</v>
      </c>
      <c r="BJ48" s="2">
        <f t="shared" si="11"/>
        <v>76.286666666666662</v>
      </c>
      <c r="BK48" s="2">
        <f t="shared" si="11"/>
        <v>75.67</v>
      </c>
      <c r="BL48" s="2">
        <f t="shared" si="11"/>
        <v>76.553333333333342</v>
      </c>
      <c r="BM48" s="2">
        <f t="shared" si="11"/>
        <v>78.776666666666671</v>
      </c>
      <c r="BN48" s="2">
        <f t="shared" si="11"/>
        <v>73.36999999999999</v>
      </c>
      <c r="BO48" s="2">
        <f t="shared" ref="BO48:CW48" si="12">AVERAGE(BO7:BO9)</f>
        <v>80.476666666666674</v>
      </c>
      <c r="BP48" s="2">
        <f t="shared" si="12"/>
        <v>79.786666666666648</v>
      </c>
      <c r="BQ48" s="2">
        <f t="shared" si="12"/>
        <v>77.2</v>
      </c>
      <c r="BR48" s="2">
        <f t="shared" si="12"/>
        <v>78.843333333333334</v>
      </c>
      <c r="BS48" s="2">
        <f t="shared" si="12"/>
        <v>76.396666666666661</v>
      </c>
      <c r="BT48" s="2">
        <f t="shared" si="12"/>
        <v>80.90666666666668</v>
      </c>
      <c r="BU48" s="2">
        <f t="shared" si="12"/>
        <v>79.413333333333327</v>
      </c>
      <c r="BV48" s="2">
        <f t="shared" si="12"/>
        <v>76.086666666666659</v>
      </c>
      <c r="BW48" s="2">
        <f t="shared" si="12"/>
        <v>76.966666666666669</v>
      </c>
      <c r="BX48" s="2">
        <f t="shared" si="12"/>
        <v>74.123333333333335</v>
      </c>
      <c r="BY48" s="2">
        <f t="shared" si="12"/>
        <v>80.48</v>
      </c>
      <c r="BZ48" s="2">
        <f t="shared" si="12"/>
        <v>75.713333333333324</v>
      </c>
      <c r="CA48" s="2">
        <f t="shared" si="12"/>
        <v>72.706666666666663</v>
      </c>
      <c r="CB48" s="2">
        <f t="shared" si="12"/>
        <v>79.209999999999994</v>
      </c>
      <c r="CC48" s="2">
        <f t="shared" si="12"/>
        <v>77.696666666666673</v>
      </c>
      <c r="CD48" s="2">
        <f t="shared" si="12"/>
        <v>77.206666666666663</v>
      </c>
      <c r="CE48" s="2">
        <f t="shared" si="12"/>
        <v>77.413333333333341</v>
      </c>
      <c r="CF48" s="2">
        <f t="shared" si="12"/>
        <v>68.386666666666656</v>
      </c>
      <c r="CG48" s="2">
        <f t="shared" si="12"/>
        <v>79.223333333333329</v>
      </c>
      <c r="CH48" s="2">
        <f t="shared" si="12"/>
        <v>75.709999999999994</v>
      </c>
      <c r="CI48" s="2">
        <f t="shared" si="12"/>
        <v>78.703333333333333</v>
      </c>
      <c r="CJ48" s="2">
        <f t="shared" si="12"/>
        <v>76.683333333333337</v>
      </c>
      <c r="CK48" s="2">
        <f t="shared" si="12"/>
        <v>72.209999999999994</v>
      </c>
      <c r="CL48" s="2">
        <f t="shared" si="12"/>
        <v>80.743333333333339</v>
      </c>
      <c r="CM48" s="2">
        <f t="shared" si="12"/>
        <v>75.846666666666664</v>
      </c>
      <c r="CN48" s="2">
        <f t="shared" si="12"/>
        <v>79.48</v>
      </c>
      <c r="CO48" s="2">
        <f t="shared" si="12"/>
        <v>77.036666666666662</v>
      </c>
      <c r="CP48" s="2">
        <f t="shared" si="12"/>
        <v>78.756666666666661</v>
      </c>
      <c r="CQ48" s="2">
        <f t="shared" si="12"/>
        <v>75.216666666666654</v>
      </c>
      <c r="CR48" s="2">
        <f t="shared" si="12"/>
        <v>79.106666666666669</v>
      </c>
      <c r="CS48" s="2">
        <f t="shared" si="12"/>
        <v>80.73</v>
      </c>
      <c r="CT48" s="2">
        <f t="shared" si="12"/>
        <v>76.343333333333334</v>
      </c>
      <c r="CU48" s="2">
        <f t="shared" si="12"/>
        <v>76.36333333333333</v>
      </c>
      <c r="CV48" s="2">
        <f t="shared" si="12"/>
        <v>74.11333333333333</v>
      </c>
      <c r="CW48" s="2">
        <f t="shared" si="12"/>
        <v>79.903333333333336</v>
      </c>
      <c r="CX48" s="2">
        <f t="shared" si="0"/>
        <v>76.957999999999998</v>
      </c>
    </row>
    <row r="49" spans="1:102" x14ac:dyDescent="0.2">
      <c r="A49" s="3" t="s">
        <v>17</v>
      </c>
      <c r="B49" s="2">
        <f>AVERAGE(B10:B12)</f>
        <v>78.986666666666665</v>
      </c>
      <c r="C49" s="2">
        <f t="shared" ref="C49:BN49" si="13">AVERAGE(C10:C12)</f>
        <v>74.916666666666671</v>
      </c>
      <c r="D49" s="2">
        <f t="shared" si="13"/>
        <v>76.696666666666673</v>
      </c>
      <c r="E49" s="2">
        <f t="shared" si="13"/>
        <v>74.17</v>
      </c>
      <c r="F49" s="2">
        <f t="shared" si="13"/>
        <v>81.303333333333342</v>
      </c>
      <c r="G49" s="2">
        <f t="shared" si="13"/>
        <v>75.48</v>
      </c>
      <c r="H49" s="2">
        <f t="shared" si="13"/>
        <v>80.603333333333339</v>
      </c>
      <c r="I49" s="2">
        <f t="shared" si="13"/>
        <v>74.196666666666658</v>
      </c>
      <c r="J49" s="2">
        <f t="shared" si="13"/>
        <v>73.313333333333333</v>
      </c>
      <c r="K49" s="2">
        <f t="shared" si="13"/>
        <v>75.476666666666674</v>
      </c>
      <c r="L49" s="2">
        <f t="shared" si="13"/>
        <v>77.066666666666663</v>
      </c>
      <c r="M49" s="2">
        <f t="shared" si="13"/>
        <v>80.839999999999989</v>
      </c>
      <c r="N49" s="2">
        <f t="shared" si="13"/>
        <v>81.193333333333342</v>
      </c>
      <c r="O49" s="2">
        <f t="shared" si="13"/>
        <v>77.726666666666674</v>
      </c>
      <c r="P49" s="2">
        <f t="shared" si="13"/>
        <v>74.99666666666667</v>
      </c>
      <c r="Q49" s="2">
        <f t="shared" si="13"/>
        <v>78.326666666666668</v>
      </c>
      <c r="R49" s="2">
        <f t="shared" si="13"/>
        <v>78.75</v>
      </c>
      <c r="S49" s="2">
        <f t="shared" si="13"/>
        <v>81.306666666666672</v>
      </c>
      <c r="T49" s="2">
        <f t="shared" si="13"/>
        <v>72.116666666666674</v>
      </c>
      <c r="U49" s="2">
        <f t="shared" si="13"/>
        <v>76.649999999999991</v>
      </c>
      <c r="V49" s="2">
        <f t="shared" si="13"/>
        <v>74.273333333333326</v>
      </c>
      <c r="W49" s="2">
        <f t="shared" si="13"/>
        <v>72.723333333333343</v>
      </c>
      <c r="X49" s="2">
        <f t="shared" si="13"/>
        <v>72.426666666666662</v>
      </c>
      <c r="Y49" s="2">
        <f t="shared" si="13"/>
        <v>75.153333333333322</v>
      </c>
      <c r="Z49" s="2">
        <f t="shared" si="13"/>
        <v>78.56</v>
      </c>
      <c r="AA49" s="2">
        <f t="shared" si="13"/>
        <v>81.86333333333333</v>
      </c>
      <c r="AB49" s="2">
        <f t="shared" si="13"/>
        <v>74.126666666666665</v>
      </c>
      <c r="AC49" s="2">
        <f t="shared" si="13"/>
        <v>80.83</v>
      </c>
      <c r="AD49" s="2">
        <f t="shared" si="13"/>
        <v>80</v>
      </c>
      <c r="AE49" s="2">
        <f t="shared" si="13"/>
        <v>74.956666666666663</v>
      </c>
      <c r="AF49" s="2">
        <f t="shared" si="13"/>
        <v>81.25</v>
      </c>
      <c r="AG49" s="2">
        <f t="shared" si="13"/>
        <v>73.910000000000011</v>
      </c>
      <c r="AH49" s="2">
        <f t="shared" si="13"/>
        <v>80.74666666666667</v>
      </c>
      <c r="AI49" s="2">
        <f t="shared" si="13"/>
        <v>77.009999999999991</v>
      </c>
      <c r="AJ49" s="2">
        <f t="shared" si="13"/>
        <v>71.443333333333328</v>
      </c>
      <c r="AK49" s="2">
        <f t="shared" si="13"/>
        <v>76.13666666666667</v>
      </c>
      <c r="AL49" s="2">
        <f t="shared" si="13"/>
        <v>80.773333333333341</v>
      </c>
      <c r="AM49" s="2">
        <f t="shared" si="13"/>
        <v>73.803333333333327</v>
      </c>
      <c r="AN49" s="2">
        <f t="shared" si="13"/>
        <v>79.136666666666656</v>
      </c>
      <c r="AO49" s="2">
        <f t="shared" si="13"/>
        <v>77.02</v>
      </c>
      <c r="AP49" s="2">
        <f t="shared" si="13"/>
        <v>77.156666666666666</v>
      </c>
      <c r="AQ49" s="2">
        <f t="shared" si="13"/>
        <v>75.023333333333326</v>
      </c>
      <c r="AR49" s="2">
        <f t="shared" si="13"/>
        <v>76.56</v>
      </c>
      <c r="AS49" s="2">
        <f t="shared" si="13"/>
        <v>74.313333333333333</v>
      </c>
      <c r="AT49" s="2">
        <f t="shared" si="13"/>
        <v>77.196666666666658</v>
      </c>
      <c r="AU49" s="2">
        <f t="shared" si="13"/>
        <v>77.24666666666667</v>
      </c>
      <c r="AV49" s="2">
        <f t="shared" si="13"/>
        <v>80.036666666666676</v>
      </c>
      <c r="AW49" s="2">
        <f t="shared" si="13"/>
        <v>75.430000000000007</v>
      </c>
      <c r="AX49" s="2">
        <f t="shared" si="13"/>
        <v>76.320000000000007</v>
      </c>
      <c r="AY49" s="2">
        <f t="shared" si="13"/>
        <v>77.930000000000007</v>
      </c>
      <c r="AZ49" s="2">
        <f t="shared" si="13"/>
        <v>78.959999999999994</v>
      </c>
      <c r="BA49" s="2">
        <f t="shared" si="13"/>
        <v>77.293333333333337</v>
      </c>
      <c r="BB49" s="2">
        <f t="shared" si="13"/>
        <v>76.650000000000006</v>
      </c>
      <c r="BC49" s="2">
        <f t="shared" si="13"/>
        <v>78.726666666666674</v>
      </c>
      <c r="BD49" s="2">
        <f t="shared" si="13"/>
        <v>78.243333333333339</v>
      </c>
      <c r="BE49" s="2">
        <f t="shared" si="13"/>
        <v>77.39</v>
      </c>
      <c r="BF49" s="2">
        <f t="shared" si="13"/>
        <v>77.346666666666678</v>
      </c>
      <c r="BG49" s="2">
        <f t="shared" si="13"/>
        <v>81.796666666666667</v>
      </c>
      <c r="BH49" s="2">
        <f t="shared" si="13"/>
        <v>75.63</v>
      </c>
      <c r="BI49" s="2">
        <f t="shared" si="13"/>
        <v>73.603333333333339</v>
      </c>
      <c r="BJ49" s="2">
        <f t="shared" si="13"/>
        <v>76.08</v>
      </c>
      <c r="BK49" s="2">
        <f t="shared" si="13"/>
        <v>72.459999999999994</v>
      </c>
      <c r="BL49" s="2">
        <f t="shared" si="13"/>
        <v>79.36333333333333</v>
      </c>
      <c r="BM49" s="2">
        <f t="shared" si="13"/>
        <v>72.986666666666665</v>
      </c>
      <c r="BN49" s="2">
        <f t="shared" si="13"/>
        <v>77.64</v>
      </c>
      <c r="BO49" s="2">
        <f t="shared" ref="BO49:CW49" si="14">AVERAGE(BO10:BO12)</f>
        <v>80.423333333333332</v>
      </c>
      <c r="BP49" s="2">
        <f t="shared" si="14"/>
        <v>78.796666666666667</v>
      </c>
      <c r="BQ49" s="2">
        <f t="shared" si="14"/>
        <v>78.543333333333337</v>
      </c>
      <c r="BR49" s="2">
        <f t="shared" si="14"/>
        <v>77.989999999999995</v>
      </c>
      <c r="BS49" s="2">
        <f t="shared" si="14"/>
        <v>73.536666666666676</v>
      </c>
      <c r="BT49" s="2">
        <f t="shared" si="14"/>
        <v>75.75333333333333</v>
      </c>
      <c r="BU49" s="2">
        <f t="shared" si="14"/>
        <v>77.556666666666672</v>
      </c>
      <c r="BV49" s="2">
        <f t="shared" si="14"/>
        <v>73.656666666666652</v>
      </c>
      <c r="BW49" s="2">
        <f t="shared" si="14"/>
        <v>75.696666666666673</v>
      </c>
      <c r="BX49" s="2">
        <f t="shared" si="14"/>
        <v>74.616666666666674</v>
      </c>
      <c r="BY49" s="2">
        <f t="shared" si="14"/>
        <v>76.173333333333332</v>
      </c>
      <c r="BZ49" s="2">
        <f t="shared" si="14"/>
        <v>76.13666666666667</v>
      </c>
      <c r="CA49" s="2">
        <f t="shared" si="14"/>
        <v>77.773333333333326</v>
      </c>
      <c r="CB49" s="2">
        <f t="shared" si="14"/>
        <v>75.303333333333327</v>
      </c>
      <c r="CC49" s="2">
        <f t="shared" si="14"/>
        <v>75.570000000000007</v>
      </c>
      <c r="CD49" s="2">
        <f t="shared" si="14"/>
        <v>73.52</v>
      </c>
      <c r="CE49" s="2">
        <f t="shared" si="14"/>
        <v>80.476666666666674</v>
      </c>
      <c r="CF49" s="2">
        <f t="shared" si="14"/>
        <v>74.02</v>
      </c>
      <c r="CG49" s="2">
        <f t="shared" si="14"/>
        <v>78.453333333333333</v>
      </c>
      <c r="CH49" s="2">
        <f t="shared" si="14"/>
        <v>75.86999999999999</v>
      </c>
      <c r="CI49" s="2">
        <f t="shared" si="14"/>
        <v>76.649999999999991</v>
      </c>
      <c r="CJ49" s="2">
        <f t="shared" si="14"/>
        <v>78.646666666666661</v>
      </c>
      <c r="CK49" s="2">
        <f t="shared" si="14"/>
        <v>76.50333333333333</v>
      </c>
      <c r="CL49" s="2">
        <f t="shared" si="14"/>
        <v>78.653333333333336</v>
      </c>
      <c r="CM49" s="2">
        <f t="shared" si="14"/>
        <v>71.62</v>
      </c>
      <c r="CN49" s="2">
        <f t="shared" si="14"/>
        <v>76.289999999999992</v>
      </c>
      <c r="CO49" s="2">
        <f t="shared" si="14"/>
        <v>72.613333333333344</v>
      </c>
      <c r="CP49" s="2">
        <f t="shared" si="14"/>
        <v>75.740000000000009</v>
      </c>
      <c r="CQ49" s="2">
        <f t="shared" si="14"/>
        <v>74.11</v>
      </c>
      <c r="CR49" s="2">
        <f t="shared" si="14"/>
        <v>78.526666666666657</v>
      </c>
      <c r="CS49" s="2">
        <f t="shared" si="14"/>
        <v>76.819999999999993</v>
      </c>
      <c r="CT49" s="2">
        <f t="shared" si="14"/>
        <v>75.236666666666665</v>
      </c>
      <c r="CU49" s="2">
        <f t="shared" si="14"/>
        <v>73.42</v>
      </c>
      <c r="CV49" s="2">
        <f t="shared" si="14"/>
        <v>79.813333333333333</v>
      </c>
      <c r="CW49" s="2">
        <f t="shared" si="14"/>
        <v>80.323333333333338</v>
      </c>
      <c r="CX49" s="2">
        <f t="shared" si="0"/>
        <v>76.764766666666688</v>
      </c>
    </row>
    <row r="50" spans="1:102" x14ac:dyDescent="0.2">
      <c r="A50" s="3" t="s">
        <v>18</v>
      </c>
      <c r="B50" s="2">
        <f>AVERAGE(B13:B15)</f>
        <v>77.943333333333328</v>
      </c>
      <c r="C50" s="2">
        <f t="shared" ref="C50:BN50" si="15">AVERAGE(C13:C15)</f>
        <v>80.17</v>
      </c>
      <c r="D50" s="2">
        <f t="shared" si="15"/>
        <v>77.183333333333337</v>
      </c>
      <c r="E50" s="2">
        <f t="shared" si="15"/>
        <v>77.373333333333335</v>
      </c>
      <c r="F50" s="2">
        <f t="shared" si="15"/>
        <v>75.703333333333333</v>
      </c>
      <c r="G50" s="2">
        <f t="shared" si="15"/>
        <v>76.906666666666652</v>
      </c>
      <c r="H50" s="2">
        <f t="shared" si="15"/>
        <v>75.603333333333339</v>
      </c>
      <c r="I50" s="2">
        <f t="shared" si="15"/>
        <v>76.993333333333325</v>
      </c>
      <c r="J50" s="2">
        <f t="shared" si="15"/>
        <v>73.466666666666654</v>
      </c>
      <c r="K50" s="2">
        <f t="shared" si="15"/>
        <v>76.660000000000011</v>
      </c>
      <c r="L50" s="2">
        <f t="shared" si="15"/>
        <v>74.813333333333333</v>
      </c>
      <c r="M50" s="2">
        <f t="shared" si="15"/>
        <v>76.209999999999994</v>
      </c>
      <c r="N50" s="2">
        <f t="shared" si="15"/>
        <v>74.62</v>
      </c>
      <c r="O50" s="2">
        <f t="shared" si="15"/>
        <v>74.313333333333333</v>
      </c>
      <c r="P50" s="2">
        <f t="shared" si="15"/>
        <v>75.393333333333331</v>
      </c>
      <c r="Q50" s="2">
        <f t="shared" si="15"/>
        <v>78.856666666666669</v>
      </c>
      <c r="R50" s="2">
        <f t="shared" si="15"/>
        <v>80.156666666666666</v>
      </c>
      <c r="S50" s="2">
        <f t="shared" si="15"/>
        <v>79.61333333333333</v>
      </c>
      <c r="T50" s="2">
        <f t="shared" si="15"/>
        <v>74.853333333333339</v>
      </c>
      <c r="U50" s="2">
        <f t="shared" si="15"/>
        <v>76.180000000000007</v>
      </c>
      <c r="V50" s="2">
        <f t="shared" si="15"/>
        <v>78.643333333333331</v>
      </c>
      <c r="W50" s="2">
        <f t="shared" si="15"/>
        <v>73.256666666666675</v>
      </c>
      <c r="X50" s="2">
        <f t="shared" si="15"/>
        <v>74.686666666666667</v>
      </c>
      <c r="Y50" s="2">
        <f t="shared" si="15"/>
        <v>78.786666666666676</v>
      </c>
      <c r="Z50" s="2">
        <f t="shared" si="15"/>
        <v>74.56</v>
      </c>
      <c r="AA50" s="2">
        <f t="shared" si="15"/>
        <v>79.40666666666668</v>
      </c>
      <c r="AB50" s="2">
        <f t="shared" si="15"/>
        <v>75.37</v>
      </c>
      <c r="AC50" s="2">
        <f t="shared" si="15"/>
        <v>77.426666666666662</v>
      </c>
      <c r="AD50" s="2">
        <f t="shared" si="15"/>
        <v>68.956666666666663</v>
      </c>
      <c r="AE50" s="2">
        <f t="shared" si="15"/>
        <v>74.3</v>
      </c>
      <c r="AF50" s="2">
        <f t="shared" si="15"/>
        <v>80.703333333333333</v>
      </c>
      <c r="AG50" s="2">
        <f t="shared" si="15"/>
        <v>72.723333333333315</v>
      </c>
      <c r="AH50" s="2">
        <f t="shared" si="15"/>
        <v>77.660000000000011</v>
      </c>
      <c r="AI50" s="2">
        <f t="shared" si="15"/>
        <v>79.436666666666667</v>
      </c>
      <c r="AJ50" s="2">
        <f t="shared" si="15"/>
        <v>74.276666666666657</v>
      </c>
      <c r="AK50" s="2">
        <f t="shared" si="15"/>
        <v>80.339999999999989</v>
      </c>
      <c r="AL50" s="2">
        <f t="shared" si="15"/>
        <v>74.566666666666663</v>
      </c>
      <c r="AM50" s="2">
        <f t="shared" si="15"/>
        <v>78.95</v>
      </c>
      <c r="AN50" s="2">
        <f t="shared" si="15"/>
        <v>78.02</v>
      </c>
      <c r="AO50" s="2">
        <f t="shared" si="15"/>
        <v>75.929999999999993</v>
      </c>
      <c r="AP50" s="2">
        <f t="shared" si="15"/>
        <v>77.48</v>
      </c>
      <c r="AQ50" s="2">
        <f t="shared" si="15"/>
        <v>78.39</v>
      </c>
      <c r="AR50" s="2">
        <f t="shared" si="15"/>
        <v>76.566666666666663</v>
      </c>
      <c r="AS50" s="2">
        <f t="shared" si="15"/>
        <v>73.89</v>
      </c>
      <c r="AT50" s="2">
        <f t="shared" si="15"/>
        <v>77.436666666666667</v>
      </c>
      <c r="AU50" s="2">
        <f t="shared" si="15"/>
        <v>78.343333333333348</v>
      </c>
      <c r="AV50" s="2">
        <f t="shared" si="15"/>
        <v>74.88666666666667</v>
      </c>
      <c r="AW50" s="2">
        <f t="shared" si="15"/>
        <v>78.06</v>
      </c>
      <c r="AX50" s="2">
        <f t="shared" si="15"/>
        <v>75.706666666666663</v>
      </c>
      <c r="AY50" s="2">
        <f t="shared" si="15"/>
        <v>71.27</v>
      </c>
      <c r="AZ50" s="2">
        <f t="shared" si="15"/>
        <v>78.86333333333333</v>
      </c>
      <c r="BA50" s="2">
        <f t="shared" si="15"/>
        <v>76.033333333333346</v>
      </c>
      <c r="BB50" s="2">
        <f t="shared" si="15"/>
        <v>77.663333333333327</v>
      </c>
      <c r="BC50" s="2">
        <f t="shared" si="15"/>
        <v>73.39</v>
      </c>
      <c r="BD50" s="2">
        <f t="shared" si="15"/>
        <v>70.05</v>
      </c>
      <c r="BE50" s="2">
        <f t="shared" si="15"/>
        <v>71.683333333333337</v>
      </c>
      <c r="BF50" s="2">
        <f t="shared" si="15"/>
        <v>78.036666666666676</v>
      </c>
      <c r="BG50" s="2">
        <f t="shared" si="15"/>
        <v>77.286666666666676</v>
      </c>
      <c r="BH50" s="2">
        <f t="shared" si="15"/>
        <v>74.25</v>
      </c>
      <c r="BI50" s="2">
        <f t="shared" si="15"/>
        <v>75.833333333333329</v>
      </c>
      <c r="BJ50" s="2">
        <f t="shared" si="15"/>
        <v>77.209999999999994</v>
      </c>
      <c r="BK50" s="2">
        <f t="shared" si="15"/>
        <v>79.573333333333338</v>
      </c>
      <c r="BL50" s="2">
        <f t="shared" si="15"/>
        <v>75.346666666666678</v>
      </c>
      <c r="BM50" s="2">
        <f t="shared" si="15"/>
        <v>82.190000000000012</v>
      </c>
      <c r="BN50" s="2">
        <f t="shared" si="15"/>
        <v>79.89</v>
      </c>
      <c r="BO50" s="2">
        <f t="shared" ref="BO50:CW50" si="16">AVERAGE(BO13:BO15)</f>
        <v>81.253333333333345</v>
      </c>
      <c r="BP50" s="2">
        <f t="shared" si="16"/>
        <v>79.593333333333348</v>
      </c>
      <c r="BQ50" s="2">
        <f t="shared" si="16"/>
        <v>79.063333333333333</v>
      </c>
      <c r="BR50" s="2">
        <f t="shared" si="16"/>
        <v>74.306666666666672</v>
      </c>
      <c r="BS50" s="2">
        <f t="shared" si="16"/>
        <v>76.526666666666657</v>
      </c>
      <c r="BT50" s="2">
        <f t="shared" si="16"/>
        <v>82.616666666666674</v>
      </c>
      <c r="BU50" s="2">
        <f t="shared" si="16"/>
        <v>77.083333333333329</v>
      </c>
      <c r="BV50" s="2">
        <f t="shared" si="16"/>
        <v>77.106666666666669</v>
      </c>
      <c r="BW50" s="2">
        <f t="shared" si="16"/>
        <v>71.966666666666669</v>
      </c>
      <c r="BX50" s="2">
        <f t="shared" si="16"/>
        <v>73.946666666666673</v>
      </c>
      <c r="BY50" s="2">
        <f t="shared" si="16"/>
        <v>78.86</v>
      </c>
      <c r="BZ50" s="2">
        <f t="shared" si="16"/>
        <v>76.556666666666672</v>
      </c>
      <c r="CA50" s="2">
        <f t="shared" si="16"/>
        <v>78.75333333333333</v>
      </c>
      <c r="CB50" s="2">
        <f t="shared" si="16"/>
        <v>68.146666666666661</v>
      </c>
      <c r="CC50" s="2">
        <f t="shared" si="16"/>
        <v>76.646666666666675</v>
      </c>
      <c r="CD50" s="2">
        <f t="shared" si="16"/>
        <v>78.453333333333333</v>
      </c>
      <c r="CE50" s="2">
        <f t="shared" si="16"/>
        <v>79.466666666666669</v>
      </c>
      <c r="CF50" s="2">
        <f t="shared" si="16"/>
        <v>80.776666666666657</v>
      </c>
      <c r="CG50" s="2">
        <f t="shared" si="16"/>
        <v>78.41</v>
      </c>
      <c r="CH50" s="2">
        <f t="shared" si="16"/>
        <v>75.209999999999994</v>
      </c>
      <c r="CI50" s="2">
        <f t="shared" si="16"/>
        <v>76.846666666666678</v>
      </c>
      <c r="CJ50" s="2">
        <f t="shared" si="16"/>
        <v>77.256666666666675</v>
      </c>
      <c r="CK50" s="2">
        <f t="shared" si="16"/>
        <v>78.283333333333331</v>
      </c>
      <c r="CL50" s="2">
        <f t="shared" si="16"/>
        <v>77.893333333333331</v>
      </c>
      <c r="CM50" s="2">
        <f t="shared" si="16"/>
        <v>70.303333333333327</v>
      </c>
      <c r="CN50" s="2">
        <f t="shared" si="16"/>
        <v>77.226666666666674</v>
      </c>
      <c r="CO50" s="2">
        <f t="shared" si="16"/>
        <v>74.196666666666658</v>
      </c>
      <c r="CP50" s="2">
        <f t="shared" si="16"/>
        <v>81.13666666666667</v>
      </c>
      <c r="CQ50" s="2">
        <f t="shared" si="16"/>
        <v>77.123333333333321</v>
      </c>
      <c r="CR50" s="2">
        <f t="shared" si="16"/>
        <v>78.44</v>
      </c>
      <c r="CS50" s="2">
        <f t="shared" si="16"/>
        <v>74.566666666666677</v>
      </c>
      <c r="CT50" s="2">
        <f t="shared" si="16"/>
        <v>76.146666666666661</v>
      </c>
      <c r="CU50" s="2">
        <f t="shared" si="16"/>
        <v>79.776666666666671</v>
      </c>
      <c r="CV50" s="2">
        <f t="shared" si="16"/>
        <v>82.783333333333346</v>
      </c>
      <c r="CW50" s="2">
        <f t="shared" si="16"/>
        <v>80.143333333333331</v>
      </c>
      <c r="CX50" s="2">
        <f t="shared" si="0"/>
        <v>76.772099999999952</v>
      </c>
    </row>
    <row r="51" spans="1:102" x14ac:dyDescent="0.2">
      <c r="A51" s="3" t="s">
        <v>19</v>
      </c>
      <c r="B51" s="2">
        <f>AVERAGE(B16:B18)</f>
        <v>78.069999999999993</v>
      </c>
      <c r="C51" s="2">
        <f t="shared" ref="C51:BN51" si="17">AVERAGE(C16:C18)</f>
        <v>75.040000000000006</v>
      </c>
      <c r="D51" s="2">
        <f t="shared" si="17"/>
        <v>77</v>
      </c>
      <c r="E51" s="2">
        <f t="shared" si="17"/>
        <v>75.546666666666667</v>
      </c>
      <c r="F51" s="2">
        <f t="shared" si="17"/>
        <v>75.193333333333328</v>
      </c>
      <c r="G51" s="2">
        <f t="shared" si="17"/>
        <v>81.040000000000006</v>
      </c>
      <c r="H51" s="2">
        <f t="shared" si="17"/>
        <v>77.576666666666668</v>
      </c>
      <c r="I51" s="2">
        <f t="shared" si="17"/>
        <v>79.306666666666672</v>
      </c>
      <c r="J51" s="2">
        <f t="shared" si="17"/>
        <v>77.983333333333334</v>
      </c>
      <c r="K51" s="2">
        <f t="shared" si="17"/>
        <v>80.11</v>
      </c>
      <c r="L51" s="2">
        <f t="shared" si="17"/>
        <v>74.216666666666654</v>
      </c>
      <c r="M51" s="2">
        <f t="shared" si="17"/>
        <v>75.040000000000006</v>
      </c>
      <c r="N51" s="2">
        <f t="shared" si="17"/>
        <v>74.406666666666652</v>
      </c>
      <c r="O51" s="2">
        <f t="shared" si="17"/>
        <v>77.106666666666669</v>
      </c>
      <c r="P51" s="2">
        <f t="shared" si="17"/>
        <v>72.773333333333326</v>
      </c>
      <c r="Q51" s="2">
        <f t="shared" si="17"/>
        <v>78.736666666666665</v>
      </c>
      <c r="R51" s="2">
        <f t="shared" si="17"/>
        <v>82.36666666666666</v>
      </c>
      <c r="S51" s="2">
        <f t="shared" si="17"/>
        <v>75.916666666666671</v>
      </c>
      <c r="T51" s="2">
        <f t="shared" si="17"/>
        <v>76.123333333333335</v>
      </c>
      <c r="U51" s="2">
        <f t="shared" si="17"/>
        <v>79.739999999999995</v>
      </c>
      <c r="V51" s="2">
        <f t="shared" si="17"/>
        <v>76.36</v>
      </c>
      <c r="W51" s="2">
        <f t="shared" si="17"/>
        <v>78.343333333333348</v>
      </c>
      <c r="X51" s="2">
        <f t="shared" si="17"/>
        <v>80.376666666666679</v>
      </c>
      <c r="Y51" s="2">
        <f t="shared" si="17"/>
        <v>79.983333333333334</v>
      </c>
      <c r="Z51" s="2">
        <f t="shared" si="17"/>
        <v>75.59333333333332</v>
      </c>
      <c r="AA51" s="2">
        <f t="shared" si="17"/>
        <v>76.449999999999989</v>
      </c>
      <c r="AB51" s="2">
        <f t="shared" si="17"/>
        <v>75.993333333333339</v>
      </c>
      <c r="AC51" s="2">
        <f t="shared" si="17"/>
        <v>76.643333333333331</v>
      </c>
      <c r="AD51" s="2">
        <f t="shared" si="17"/>
        <v>78.143333333333331</v>
      </c>
      <c r="AE51" s="2">
        <f t="shared" si="17"/>
        <v>75.823333333333323</v>
      </c>
      <c r="AF51" s="2">
        <f t="shared" si="17"/>
        <v>80.803333333333342</v>
      </c>
      <c r="AG51" s="2">
        <f t="shared" si="17"/>
        <v>77.943333333333342</v>
      </c>
      <c r="AH51" s="2">
        <f t="shared" si="17"/>
        <v>75.94</v>
      </c>
      <c r="AI51" s="2">
        <f t="shared" si="17"/>
        <v>75.226666666666674</v>
      </c>
      <c r="AJ51" s="2">
        <f t="shared" si="17"/>
        <v>76.88666666666667</v>
      </c>
      <c r="AK51" s="2">
        <f t="shared" si="17"/>
        <v>81.526666666666657</v>
      </c>
      <c r="AL51" s="2">
        <f t="shared" si="17"/>
        <v>79.819999999999993</v>
      </c>
      <c r="AM51" s="2">
        <f t="shared" si="17"/>
        <v>77.11333333333333</v>
      </c>
      <c r="AN51" s="2">
        <f t="shared" si="17"/>
        <v>78.063333333333333</v>
      </c>
      <c r="AO51" s="2">
        <f t="shared" si="17"/>
        <v>79.86333333333333</v>
      </c>
      <c r="AP51" s="2">
        <f t="shared" si="17"/>
        <v>74.13666666666667</v>
      </c>
      <c r="AQ51" s="2">
        <f t="shared" si="17"/>
        <v>77.183333333333337</v>
      </c>
      <c r="AR51" s="2">
        <f t="shared" si="17"/>
        <v>76.739999999999995</v>
      </c>
      <c r="AS51" s="2">
        <f t="shared" si="17"/>
        <v>74.44</v>
      </c>
      <c r="AT51" s="2">
        <f t="shared" si="17"/>
        <v>73.716666666666654</v>
      </c>
      <c r="AU51" s="2">
        <f t="shared" si="17"/>
        <v>79.160000000000011</v>
      </c>
      <c r="AV51" s="2">
        <f t="shared" si="17"/>
        <v>81.473333333333329</v>
      </c>
      <c r="AW51" s="2">
        <f t="shared" si="17"/>
        <v>77.260000000000005</v>
      </c>
      <c r="AX51" s="2">
        <f t="shared" si="17"/>
        <v>75.09</v>
      </c>
      <c r="AY51" s="2">
        <f t="shared" si="17"/>
        <v>80.683333333333337</v>
      </c>
      <c r="AZ51" s="2">
        <f t="shared" si="17"/>
        <v>77.463333333333324</v>
      </c>
      <c r="BA51" s="2">
        <f t="shared" si="17"/>
        <v>71.886666666666656</v>
      </c>
      <c r="BB51" s="2">
        <f t="shared" si="17"/>
        <v>78.046666666666667</v>
      </c>
      <c r="BC51" s="2">
        <f t="shared" si="17"/>
        <v>74.31</v>
      </c>
      <c r="BD51" s="2">
        <f t="shared" si="17"/>
        <v>73.47</v>
      </c>
      <c r="BE51" s="2">
        <f t="shared" si="17"/>
        <v>69.569999999999993</v>
      </c>
      <c r="BF51" s="2">
        <f t="shared" si="17"/>
        <v>80.993333333333325</v>
      </c>
      <c r="BG51" s="2">
        <f t="shared" si="17"/>
        <v>78.063333333333333</v>
      </c>
      <c r="BH51" s="2">
        <f t="shared" si="17"/>
        <v>80.616666666666674</v>
      </c>
      <c r="BI51" s="2">
        <f t="shared" si="17"/>
        <v>80.633333333333326</v>
      </c>
      <c r="BJ51" s="2">
        <f t="shared" si="17"/>
        <v>75.98</v>
      </c>
      <c r="BK51" s="2">
        <f t="shared" si="17"/>
        <v>79.529999999999987</v>
      </c>
      <c r="BL51" s="2">
        <f t="shared" si="17"/>
        <v>72.766666666666666</v>
      </c>
      <c r="BM51" s="2">
        <f t="shared" si="17"/>
        <v>80.276666666666657</v>
      </c>
      <c r="BN51" s="2">
        <f t="shared" si="17"/>
        <v>76.073333333333338</v>
      </c>
      <c r="BO51" s="2">
        <f t="shared" ref="BO51:CW51" si="18">AVERAGE(BO16:BO18)</f>
        <v>76.44</v>
      </c>
      <c r="BP51" s="2">
        <f t="shared" si="18"/>
        <v>80.49666666666667</v>
      </c>
      <c r="BQ51" s="2">
        <f t="shared" si="18"/>
        <v>74.40666666666668</v>
      </c>
      <c r="BR51" s="2">
        <f t="shared" si="18"/>
        <v>73.856666666666669</v>
      </c>
      <c r="BS51" s="2">
        <f t="shared" si="18"/>
        <v>75.666666666666671</v>
      </c>
      <c r="BT51" s="2">
        <f t="shared" si="18"/>
        <v>81.516666666666666</v>
      </c>
      <c r="BU51" s="2">
        <f t="shared" si="18"/>
        <v>77.92</v>
      </c>
      <c r="BV51" s="2">
        <f t="shared" si="18"/>
        <v>76.213333333333324</v>
      </c>
      <c r="BW51" s="2">
        <f t="shared" si="18"/>
        <v>75.98</v>
      </c>
      <c r="BX51" s="2">
        <f t="shared" si="18"/>
        <v>73.513333333333321</v>
      </c>
      <c r="BY51" s="2">
        <f t="shared" si="18"/>
        <v>79.416666666666671</v>
      </c>
      <c r="BZ51" s="2">
        <f t="shared" si="18"/>
        <v>79.836666666666659</v>
      </c>
      <c r="CA51" s="2">
        <f t="shared" si="18"/>
        <v>78</v>
      </c>
      <c r="CB51" s="2">
        <f t="shared" si="18"/>
        <v>75.413333333333341</v>
      </c>
      <c r="CC51" s="2">
        <f t="shared" si="18"/>
        <v>74.623333333333335</v>
      </c>
      <c r="CD51" s="2">
        <f t="shared" si="18"/>
        <v>74.17</v>
      </c>
      <c r="CE51" s="2">
        <f t="shared" si="18"/>
        <v>72.833333333333329</v>
      </c>
      <c r="CF51" s="2">
        <f t="shared" si="18"/>
        <v>74.316666666666663</v>
      </c>
      <c r="CG51" s="2">
        <f t="shared" si="18"/>
        <v>79.806666666666658</v>
      </c>
      <c r="CH51" s="2">
        <f t="shared" si="18"/>
        <v>72.680000000000007</v>
      </c>
      <c r="CI51" s="2">
        <f t="shared" si="18"/>
        <v>75.713333333333324</v>
      </c>
      <c r="CJ51" s="2">
        <f t="shared" si="18"/>
        <v>75.616666666666674</v>
      </c>
      <c r="CK51" s="2">
        <f t="shared" si="18"/>
        <v>77.906666666666652</v>
      </c>
      <c r="CL51" s="2">
        <f t="shared" si="18"/>
        <v>76.936666666666667</v>
      </c>
      <c r="CM51" s="2">
        <f t="shared" si="18"/>
        <v>76.793333333333337</v>
      </c>
      <c r="CN51" s="2">
        <f t="shared" si="18"/>
        <v>81.486666666666665</v>
      </c>
      <c r="CO51" s="2">
        <f t="shared" si="18"/>
        <v>74.220000000000013</v>
      </c>
      <c r="CP51" s="2">
        <f t="shared" si="18"/>
        <v>79.143333333333331</v>
      </c>
      <c r="CQ51" s="2">
        <f t="shared" si="18"/>
        <v>77.466666666666669</v>
      </c>
      <c r="CR51" s="2">
        <f t="shared" si="18"/>
        <v>73.113333333333344</v>
      </c>
      <c r="CS51" s="2">
        <f t="shared" si="18"/>
        <v>75.703333333333333</v>
      </c>
      <c r="CT51" s="2">
        <f t="shared" si="18"/>
        <v>75.36333333333333</v>
      </c>
      <c r="CU51" s="2">
        <f t="shared" si="18"/>
        <v>83.970000000000013</v>
      </c>
      <c r="CV51" s="2">
        <f t="shared" si="18"/>
        <v>79.08</v>
      </c>
      <c r="CW51" s="2">
        <f t="shared" si="18"/>
        <v>78.066666666666663</v>
      </c>
      <c r="CX51" s="2">
        <f t="shared" si="0"/>
        <v>77.074399999999983</v>
      </c>
    </row>
    <row r="52" spans="1:102" x14ac:dyDescent="0.2">
      <c r="A52" s="3" t="s">
        <v>20</v>
      </c>
      <c r="B52" s="2">
        <f>AVERAGE(B19:B21)</f>
        <v>82.186666666666667</v>
      </c>
      <c r="C52" s="2">
        <f t="shared" ref="C52:BN52" si="19">AVERAGE(C19:C21)</f>
        <v>77.556666666666658</v>
      </c>
      <c r="D52" s="2">
        <f t="shared" si="19"/>
        <v>75.083333333333329</v>
      </c>
      <c r="E52" s="2">
        <f t="shared" si="19"/>
        <v>79.2</v>
      </c>
      <c r="F52" s="2">
        <f t="shared" si="19"/>
        <v>75.686666666666667</v>
      </c>
      <c r="G52" s="2">
        <f t="shared" si="19"/>
        <v>79.623333333333335</v>
      </c>
      <c r="H52" s="2">
        <f t="shared" si="19"/>
        <v>81.596666666666664</v>
      </c>
      <c r="I52" s="2">
        <f t="shared" si="19"/>
        <v>81.046666666666667</v>
      </c>
      <c r="J52" s="2">
        <f t="shared" si="19"/>
        <v>78.083333333333329</v>
      </c>
      <c r="K52" s="2">
        <f t="shared" si="19"/>
        <v>79.17</v>
      </c>
      <c r="L52" s="2">
        <f t="shared" si="19"/>
        <v>73.926666666666662</v>
      </c>
      <c r="M52" s="2">
        <f t="shared" si="19"/>
        <v>75.89</v>
      </c>
      <c r="N52" s="2">
        <f t="shared" si="19"/>
        <v>75.77</v>
      </c>
      <c r="O52" s="2">
        <f t="shared" si="19"/>
        <v>78.693333333333328</v>
      </c>
      <c r="P52" s="2">
        <f t="shared" si="19"/>
        <v>77.713333333333324</v>
      </c>
      <c r="Q52" s="2">
        <f t="shared" si="19"/>
        <v>72.589999999999989</v>
      </c>
      <c r="R52" s="2">
        <f t="shared" si="19"/>
        <v>78.976666666666659</v>
      </c>
      <c r="S52" s="2">
        <f t="shared" si="19"/>
        <v>76.196666666666658</v>
      </c>
      <c r="T52" s="2">
        <f t="shared" si="19"/>
        <v>78.173333333333332</v>
      </c>
      <c r="U52" s="2">
        <f t="shared" si="19"/>
        <v>73.073333333333338</v>
      </c>
      <c r="V52" s="2">
        <f t="shared" si="19"/>
        <v>75.333333333333329</v>
      </c>
      <c r="W52" s="2">
        <f t="shared" si="19"/>
        <v>77.589999999999989</v>
      </c>
      <c r="X52" s="2">
        <f t="shared" si="19"/>
        <v>80.186666666666667</v>
      </c>
      <c r="Y52" s="2">
        <f t="shared" si="19"/>
        <v>78.523333333333326</v>
      </c>
      <c r="Z52" s="2">
        <f t="shared" si="19"/>
        <v>77.11666666666666</v>
      </c>
      <c r="AA52" s="2">
        <f t="shared" si="19"/>
        <v>77.24666666666667</v>
      </c>
      <c r="AB52" s="2">
        <f t="shared" si="19"/>
        <v>76.703333333333333</v>
      </c>
      <c r="AC52" s="2">
        <f t="shared" si="19"/>
        <v>79.436666666666667</v>
      </c>
      <c r="AD52" s="2">
        <f t="shared" si="19"/>
        <v>78.88</v>
      </c>
      <c r="AE52" s="2">
        <f t="shared" si="19"/>
        <v>75.866666666666674</v>
      </c>
      <c r="AF52" s="2">
        <f t="shared" si="19"/>
        <v>82.39</v>
      </c>
      <c r="AG52" s="2">
        <f t="shared" si="19"/>
        <v>83.00333333333333</v>
      </c>
      <c r="AH52" s="2">
        <f t="shared" si="19"/>
        <v>78.066666666666663</v>
      </c>
      <c r="AI52" s="2">
        <f t="shared" si="19"/>
        <v>75.569999999999993</v>
      </c>
      <c r="AJ52" s="2">
        <f t="shared" si="19"/>
        <v>72.423333333333346</v>
      </c>
      <c r="AK52" s="2">
        <f t="shared" si="19"/>
        <v>80.403333333333322</v>
      </c>
      <c r="AL52" s="2">
        <f t="shared" si="19"/>
        <v>77.176666666666662</v>
      </c>
      <c r="AM52" s="2">
        <f t="shared" si="19"/>
        <v>78.793333333333337</v>
      </c>
      <c r="AN52" s="2">
        <f t="shared" si="19"/>
        <v>73.196666666666658</v>
      </c>
      <c r="AO52" s="2">
        <f t="shared" si="19"/>
        <v>74.403333333333322</v>
      </c>
      <c r="AP52" s="2">
        <f t="shared" si="19"/>
        <v>71.33</v>
      </c>
      <c r="AQ52" s="2">
        <f t="shared" si="19"/>
        <v>78.853333333333339</v>
      </c>
      <c r="AR52" s="2">
        <f t="shared" si="19"/>
        <v>76.153333333333336</v>
      </c>
      <c r="AS52" s="2">
        <f t="shared" si="19"/>
        <v>74.489999999999995</v>
      </c>
      <c r="AT52" s="2">
        <f t="shared" si="19"/>
        <v>76.153333333333336</v>
      </c>
      <c r="AU52" s="2">
        <f t="shared" si="19"/>
        <v>73.836666666666673</v>
      </c>
      <c r="AV52" s="2">
        <f t="shared" si="19"/>
        <v>80.733333333333334</v>
      </c>
      <c r="AW52" s="2">
        <f t="shared" si="19"/>
        <v>79.456666666666663</v>
      </c>
      <c r="AX52" s="2">
        <f t="shared" si="19"/>
        <v>76.433333333333323</v>
      </c>
      <c r="AY52" s="2">
        <f t="shared" si="19"/>
        <v>78.676666666666662</v>
      </c>
      <c r="AZ52" s="2">
        <f t="shared" si="19"/>
        <v>82.15333333333335</v>
      </c>
      <c r="BA52" s="2">
        <f t="shared" si="19"/>
        <v>75.436666666666653</v>
      </c>
      <c r="BB52" s="2">
        <f t="shared" si="19"/>
        <v>77.943333333333342</v>
      </c>
      <c r="BC52" s="2">
        <f t="shared" si="19"/>
        <v>73.823333333333338</v>
      </c>
      <c r="BD52" s="2">
        <f t="shared" si="19"/>
        <v>76.326666666666668</v>
      </c>
      <c r="BE52" s="2">
        <f t="shared" si="19"/>
        <v>76.446666666666673</v>
      </c>
      <c r="BF52" s="2">
        <f t="shared" si="19"/>
        <v>81.236666666666665</v>
      </c>
      <c r="BG52" s="2">
        <f t="shared" si="19"/>
        <v>79.39</v>
      </c>
      <c r="BH52" s="2">
        <f t="shared" si="19"/>
        <v>79.99666666666667</v>
      </c>
      <c r="BI52" s="2">
        <f t="shared" si="19"/>
        <v>79.536666666666676</v>
      </c>
      <c r="BJ52" s="2">
        <f t="shared" si="19"/>
        <v>77.326666666666668</v>
      </c>
      <c r="BK52" s="2">
        <f t="shared" si="19"/>
        <v>74.943333333333342</v>
      </c>
      <c r="BL52" s="2">
        <f t="shared" si="19"/>
        <v>75.813333333333333</v>
      </c>
      <c r="BM52" s="2">
        <f t="shared" si="19"/>
        <v>73.660000000000011</v>
      </c>
      <c r="BN52" s="2">
        <f t="shared" si="19"/>
        <v>80.686666666666667</v>
      </c>
      <c r="BO52" s="2">
        <f t="shared" ref="BO52:CW52" si="20">AVERAGE(BO19:BO21)</f>
        <v>82.469999999999985</v>
      </c>
      <c r="BP52" s="2">
        <f t="shared" si="20"/>
        <v>79.443333333333342</v>
      </c>
      <c r="BQ52" s="2">
        <f t="shared" si="20"/>
        <v>74.680000000000007</v>
      </c>
      <c r="BR52" s="2">
        <f t="shared" si="20"/>
        <v>72.963333333333338</v>
      </c>
      <c r="BS52" s="2">
        <f t="shared" si="20"/>
        <v>74.2</v>
      </c>
      <c r="BT52" s="2">
        <f t="shared" si="20"/>
        <v>77.673333333333346</v>
      </c>
      <c r="BU52" s="2">
        <f t="shared" si="20"/>
        <v>80.323333333333323</v>
      </c>
      <c r="BV52" s="2">
        <f t="shared" si="20"/>
        <v>75.949999999999989</v>
      </c>
      <c r="BW52" s="2">
        <f t="shared" si="20"/>
        <v>76.69</v>
      </c>
      <c r="BX52" s="2">
        <f t="shared" si="20"/>
        <v>75.823333333333338</v>
      </c>
      <c r="BY52" s="2">
        <f t="shared" si="20"/>
        <v>74.100000000000009</v>
      </c>
      <c r="BZ52" s="2">
        <f t="shared" si="20"/>
        <v>79.11333333333333</v>
      </c>
      <c r="CA52" s="2">
        <f t="shared" si="20"/>
        <v>75.89</v>
      </c>
      <c r="CB52" s="2">
        <f t="shared" si="20"/>
        <v>79.016666666666666</v>
      </c>
      <c r="CC52" s="2">
        <f t="shared" si="20"/>
        <v>76.36</v>
      </c>
      <c r="CD52" s="2">
        <f t="shared" si="20"/>
        <v>78.123333333333335</v>
      </c>
      <c r="CE52" s="2">
        <f t="shared" si="20"/>
        <v>73.826666666666668</v>
      </c>
      <c r="CF52" s="2">
        <f t="shared" si="20"/>
        <v>75.69</v>
      </c>
      <c r="CG52" s="2">
        <f t="shared" si="20"/>
        <v>79.833333333333329</v>
      </c>
      <c r="CH52" s="2">
        <f t="shared" si="20"/>
        <v>74.899999999999991</v>
      </c>
      <c r="CI52" s="2">
        <f t="shared" si="20"/>
        <v>73.963333333333324</v>
      </c>
      <c r="CJ52" s="2">
        <f t="shared" si="20"/>
        <v>76.37</v>
      </c>
      <c r="CK52" s="2">
        <f t="shared" si="20"/>
        <v>77.790000000000006</v>
      </c>
      <c r="CL52" s="2">
        <f t="shared" si="20"/>
        <v>77.353333333333339</v>
      </c>
      <c r="CM52" s="2">
        <f t="shared" si="20"/>
        <v>74.240000000000009</v>
      </c>
      <c r="CN52" s="2">
        <f t="shared" si="20"/>
        <v>79.966666666666669</v>
      </c>
      <c r="CO52" s="2">
        <f t="shared" si="20"/>
        <v>81.96</v>
      </c>
      <c r="CP52" s="2">
        <f t="shared" si="20"/>
        <v>78.053333333333327</v>
      </c>
      <c r="CQ52" s="2">
        <f t="shared" si="20"/>
        <v>78.826666666666668</v>
      </c>
      <c r="CR52" s="2">
        <f t="shared" si="20"/>
        <v>78.816666666666677</v>
      </c>
      <c r="CS52" s="2">
        <f t="shared" si="20"/>
        <v>78.153333333333322</v>
      </c>
      <c r="CT52" s="2">
        <f t="shared" si="20"/>
        <v>72.566666666666663</v>
      </c>
      <c r="CU52" s="2">
        <f t="shared" si="20"/>
        <v>78.95</v>
      </c>
      <c r="CV52" s="2">
        <f t="shared" si="20"/>
        <v>71.733333333333334</v>
      </c>
      <c r="CW52" s="2">
        <f t="shared" si="20"/>
        <v>75.540000000000006</v>
      </c>
      <c r="CX52" s="2">
        <f t="shared" si="0"/>
        <v>77.247366666666665</v>
      </c>
    </row>
    <row r="53" spans="1:102" x14ac:dyDescent="0.2">
      <c r="A53" s="3" t="s">
        <v>21</v>
      </c>
      <c r="B53" s="2">
        <f>AVERAGE(B22:B24)</f>
        <v>74.399999999999991</v>
      </c>
      <c r="C53" s="2">
        <f t="shared" ref="C53:BN53" si="21">AVERAGE(C22:C24)</f>
        <v>79.836666666666673</v>
      </c>
      <c r="D53" s="2">
        <f t="shared" si="21"/>
        <v>74.906666666666652</v>
      </c>
      <c r="E53" s="2">
        <f t="shared" si="21"/>
        <v>73.853333333333339</v>
      </c>
      <c r="F53" s="2">
        <f t="shared" si="21"/>
        <v>75.00333333333333</v>
      </c>
      <c r="G53" s="2">
        <f t="shared" si="21"/>
        <v>72.86666666666666</v>
      </c>
      <c r="H53" s="2">
        <f t="shared" si="21"/>
        <v>78.790000000000006</v>
      </c>
      <c r="I53" s="2">
        <f t="shared" si="21"/>
        <v>73.240000000000009</v>
      </c>
      <c r="J53" s="2">
        <f t="shared" si="21"/>
        <v>78.970000000000013</v>
      </c>
      <c r="K53" s="2">
        <f t="shared" si="21"/>
        <v>77.683333333333337</v>
      </c>
      <c r="L53" s="2">
        <f t="shared" si="21"/>
        <v>75.843333333333334</v>
      </c>
      <c r="M53" s="2">
        <f t="shared" si="21"/>
        <v>76.016666666666666</v>
      </c>
      <c r="N53" s="2">
        <f t="shared" si="21"/>
        <v>77.709999999999994</v>
      </c>
      <c r="O53" s="2">
        <f t="shared" si="21"/>
        <v>76.553333333333342</v>
      </c>
      <c r="P53" s="2">
        <f t="shared" si="21"/>
        <v>81.236666666666665</v>
      </c>
      <c r="Q53" s="2">
        <f t="shared" si="21"/>
        <v>73.903333333333336</v>
      </c>
      <c r="R53" s="2">
        <f t="shared" si="21"/>
        <v>74.279999999999987</v>
      </c>
      <c r="S53" s="2">
        <f t="shared" si="21"/>
        <v>78.253333333333345</v>
      </c>
      <c r="T53" s="2">
        <f t="shared" si="21"/>
        <v>77.820000000000007</v>
      </c>
      <c r="U53" s="2">
        <f t="shared" si="21"/>
        <v>72.42</v>
      </c>
      <c r="V53" s="2">
        <f t="shared" si="21"/>
        <v>78.88666666666667</v>
      </c>
      <c r="W53" s="2">
        <f t="shared" si="21"/>
        <v>74.86666666666666</v>
      </c>
      <c r="X53" s="2">
        <f t="shared" si="21"/>
        <v>76.839999999999989</v>
      </c>
      <c r="Y53" s="2">
        <f t="shared" si="21"/>
        <v>76.47</v>
      </c>
      <c r="Z53" s="2">
        <f t="shared" si="21"/>
        <v>78.13</v>
      </c>
      <c r="AA53" s="2">
        <f t="shared" si="21"/>
        <v>79.430000000000007</v>
      </c>
      <c r="AB53" s="2">
        <f t="shared" si="21"/>
        <v>73.806666666666672</v>
      </c>
      <c r="AC53" s="2">
        <f t="shared" si="21"/>
        <v>78.15333333333335</v>
      </c>
      <c r="AD53" s="2">
        <f t="shared" si="21"/>
        <v>77.236666666666679</v>
      </c>
      <c r="AE53" s="2">
        <f t="shared" si="21"/>
        <v>76.28</v>
      </c>
      <c r="AF53" s="2">
        <f t="shared" si="21"/>
        <v>78.703333333333333</v>
      </c>
      <c r="AG53" s="2">
        <f t="shared" si="21"/>
        <v>80.13666666666667</v>
      </c>
      <c r="AH53" s="2">
        <f t="shared" si="21"/>
        <v>80.56</v>
      </c>
      <c r="AI53" s="2">
        <f t="shared" si="21"/>
        <v>77.713333333333324</v>
      </c>
      <c r="AJ53" s="2">
        <f t="shared" si="21"/>
        <v>74.676666666666662</v>
      </c>
      <c r="AK53" s="2">
        <f t="shared" si="21"/>
        <v>77.736666666666665</v>
      </c>
      <c r="AL53" s="2">
        <f t="shared" si="21"/>
        <v>79.663333333333341</v>
      </c>
      <c r="AM53" s="2">
        <f t="shared" si="21"/>
        <v>77.286666666666676</v>
      </c>
      <c r="AN53" s="2">
        <f t="shared" si="21"/>
        <v>77.843333333333348</v>
      </c>
      <c r="AO53" s="2">
        <f t="shared" si="21"/>
        <v>73.926666666666662</v>
      </c>
      <c r="AP53" s="2">
        <f t="shared" si="21"/>
        <v>77.683333333333337</v>
      </c>
      <c r="AQ53" s="2">
        <f t="shared" si="21"/>
        <v>75.543333333333337</v>
      </c>
      <c r="AR53" s="2">
        <f t="shared" si="21"/>
        <v>74.566666666666663</v>
      </c>
      <c r="AS53" s="2">
        <f t="shared" si="21"/>
        <v>81.833333333333329</v>
      </c>
      <c r="AT53" s="2">
        <f t="shared" si="21"/>
        <v>75.759999999999991</v>
      </c>
      <c r="AU53" s="2">
        <f t="shared" si="21"/>
        <v>78.52</v>
      </c>
      <c r="AV53" s="2">
        <f t="shared" si="21"/>
        <v>79.83</v>
      </c>
      <c r="AW53" s="2">
        <f t="shared" si="21"/>
        <v>76.043333333333337</v>
      </c>
      <c r="AX53" s="2">
        <f t="shared" si="21"/>
        <v>73.006666666666675</v>
      </c>
      <c r="AY53" s="2">
        <f t="shared" si="21"/>
        <v>79.930000000000007</v>
      </c>
      <c r="AZ53" s="2">
        <f t="shared" si="21"/>
        <v>74.523333333333326</v>
      </c>
      <c r="BA53" s="2">
        <f t="shared" si="21"/>
        <v>76.556666666666672</v>
      </c>
      <c r="BB53" s="2">
        <f t="shared" si="21"/>
        <v>73.600000000000009</v>
      </c>
      <c r="BC53" s="2">
        <f t="shared" si="21"/>
        <v>76.076666666666668</v>
      </c>
      <c r="BD53" s="2">
        <f t="shared" si="21"/>
        <v>73.713333333333324</v>
      </c>
      <c r="BE53" s="2">
        <f t="shared" si="21"/>
        <v>74.86</v>
      </c>
      <c r="BF53" s="2">
        <f t="shared" si="21"/>
        <v>75.973333333333343</v>
      </c>
      <c r="BG53" s="2">
        <f t="shared" si="21"/>
        <v>77.88333333333334</v>
      </c>
      <c r="BH53" s="2">
        <f t="shared" si="21"/>
        <v>77.910000000000011</v>
      </c>
      <c r="BI53" s="2">
        <f t="shared" si="21"/>
        <v>77.49666666666667</v>
      </c>
      <c r="BJ53" s="2">
        <f t="shared" si="21"/>
        <v>76.623333333333335</v>
      </c>
      <c r="BK53" s="2">
        <f t="shared" si="21"/>
        <v>77.38666666666667</v>
      </c>
      <c r="BL53" s="2">
        <f t="shared" si="21"/>
        <v>78.436666666666667</v>
      </c>
      <c r="BM53" s="2">
        <f t="shared" si="21"/>
        <v>76.160000000000011</v>
      </c>
      <c r="BN53" s="2">
        <f t="shared" si="21"/>
        <v>79.183333333333337</v>
      </c>
      <c r="BO53" s="2">
        <f t="shared" ref="BO53:CW53" si="22">AVERAGE(BO22:BO24)</f>
        <v>73.31</v>
      </c>
      <c r="BP53" s="2">
        <f t="shared" si="22"/>
        <v>77.033333333333346</v>
      </c>
      <c r="BQ53" s="2">
        <f t="shared" si="22"/>
        <v>76.52</v>
      </c>
      <c r="BR53" s="2">
        <f t="shared" si="22"/>
        <v>75.073333333333338</v>
      </c>
      <c r="BS53" s="2">
        <f t="shared" si="22"/>
        <v>78.31</v>
      </c>
      <c r="BT53" s="2">
        <f t="shared" si="22"/>
        <v>76.273333333333326</v>
      </c>
      <c r="BU53" s="2">
        <f t="shared" si="22"/>
        <v>80.293333333333337</v>
      </c>
      <c r="BV53" s="2">
        <f t="shared" si="22"/>
        <v>78.28</v>
      </c>
      <c r="BW53" s="2">
        <f t="shared" si="22"/>
        <v>74.796666666666667</v>
      </c>
      <c r="BX53" s="2">
        <f t="shared" si="22"/>
        <v>79.326666666666668</v>
      </c>
      <c r="BY53" s="2">
        <f t="shared" si="22"/>
        <v>76.406666666666666</v>
      </c>
      <c r="BZ53" s="2">
        <f t="shared" si="22"/>
        <v>78.42</v>
      </c>
      <c r="CA53" s="2">
        <f t="shared" si="22"/>
        <v>81.030000000000015</v>
      </c>
      <c r="CB53" s="2">
        <f t="shared" si="22"/>
        <v>80.53</v>
      </c>
      <c r="CC53" s="2">
        <f t="shared" si="22"/>
        <v>77.583333333333329</v>
      </c>
      <c r="CD53" s="2">
        <f t="shared" si="22"/>
        <v>77.013333333333335</v>
      </c>
      <c r="CE53" s="2">
        <f t="shared" si="22"/>
        <v>74.2</v>
      </c>
      <c r="CF53" s="2">
        <f t="shared" si="22"/>
        <v>77.06</v>
      </c>
      <c r="CG53" s="2">
        <f t="shared" si="22"/>
        <v>76.846666666666678</v>
      </c>
      <c r="CH53" s="2">
        <f t="shared" si="22"/>
        <v>76.84333333333332</v>
      </c>
      <c r="CI53" s="2">
        <f t="shared" si="22"/>
        <v>74.626666666666665</v>
      </c>
      <c r="CJ53" s="2">
        <f t="shared" si="22"/>
        <v>77.11666666666666</v>
      </c>
      <c r="CK53" s="2">
        <f t="shared" si="22"/>
        <v>82.303333333333327</v>
      </c>
      <c r="CL53" s="2">
        <f t="shared" si="22"/>
        <v>73.38666666666667</v>
      </c>
      <c r="CM53" s="2">
        <f t="shared" si="22"/>
        <v>77.176666666666677</v>
      </c>
      <c r="CN53" s="2">
        <f t="shared" si="22"/>
        <v>77.213333333333324</v>
      </c>
      <c r="CO53" s="2">
        <f t="shared" si="22"/>
        <v>76.63000000000001</v>
      </c>
      <c r="CP53" s="2">
        <f t="shared" si="22"/>
        <v>74.543333333333337</v>
      </c>
      <c r="CQ53" s="2">
        <f t="shared" si="22"/>
        <v>77.283333333333331</v>
      </c>
      <c r="CR53" s="2">
        <f t="shared" si="22"/>
        <v>78.553333333333327</v>
      </c>
      <c r="CS53" s="2">
        <f t="shared" si="22"/>
        <v>81.776666666666657</v>
      </c>
      <c r="CT53" s="2">
        <f t="shared" si="22"/>
        <v>75.826666666666668</v>
      </c>
      <c r="CU53" s="2">
        <f t="shared" si="22"/>
        <v>78.233333333333334</v>
      </c>
      <c r="CV53" s="2">
        <f t="shared" si="22"/>
        <v>72.413333333333341</v>
      </c>
      <c r="CW53" s="2">
        <f t="shared" si="22"/>
        <v>76.203333333333333</v>
      </c>
      <c r="CX53" s="2">
        <f t="shared" si="0"/>
        <v>76.8947</v>
      </c>
    </row>
    <row r="54" spans="1:102" x14ac:dyDescent="0.2">
      <c r="A54" s="3" t="s">
        <v>22</v>
      </c>
      <c r="B54" s="2">
        <f>AVERAGE(B25:B27)</f>
        <v>76.163333333333341</v>
      </c>
      <c r="C54" s="2">
        <f t="shared" ref="C54:BN54" si="23">AVERAGE(C25:C27)</f>
        <v>74.826666666666668</v>
      </c>
      <c r="D54" s="2">
        <f t="shared" si="23"/>
        <v>76.953333333333333</v>
      </c>
      <c r="E54" s="2">
        <f t="shared" si="23"/>
        <v>78.326666666666668</v>
      </c>
      <c r="F54" s="2">
        <f t="shared" si="23"/>
        <v>72.813333333333333</v>
      </c>
      <c r="G54" s="2">
        <f t="shared" si="23"/>
        <v>76.399999999999991</v>
      </c>
      <c r="H54" s="2">
        <f t="shared" si="23"/>
        <v>80.37</v>
      </c>
      <c r="I54" s="2">
        <f t="shared" si="23"/>
        <v>77.793333333333337</v>
      </c>
      <c r="J54" s="2">
        <f t="shared" si="23"/>
        <v>83.35</v>
      </c>
      <c r="K54" s="2">
        <f t="shared" si="23"/>
        <v>77.686666666666667</v>
      </c>
      <c r="L54" s="2">
        <f t="shared" si="23"/>
        <v>77.39</v>
      </c>
      <c r="M54" s="2">
        <f t="shared" si="23"/>
        <v>72.929999999999993</v>
      </c>
      <c r="N54" s="2">
        <f t="shared" si="23"/>
        <v>76.889999999999986</v>
      </c>
      <c r="O54" s="2">
        <f t="shared" si="23"/>
        <v>77.376666666666665</v>
      </c>
      <c r="P54" s="2">
        <f t="shared" si="23"/>
        <v>78.44</v>
      </c>
      <c r="Q54" s="2">
        <f t="shared" si="23"/>
        <v>78.236666666666665</v>
      </c>
      <c r="R54" s="2">
        <f t="shared" si="23"/>
        <v>74.256666666666675</v>
      </c>
      <c r="S54" s="2">
        <f t="shared" si="23"/>
        <v>78.086666666666659</v>
      </c>
      <c r="T54" s="2">
        <f t="shared" si="23"/>
        <v>77.276666666666671</v>
      </c>
      <c r="U54" s="2">
        <f t="shared" si="23"/>
        <v>74.703333333333333</v>
      </c>
      <c r="V54" s="2">
        <f t="shared" si="23"/>
        <v>76.196666666666673</v>
      </c>
      <c r="W54" s="2">
        <f t="shared" si="23"/>
        <v>77.013333333333335</v>
      </c>
      <c r="X54" s="2">
        <f t="shared" si="23"/>
        <v>75.053333333333327</v>
      </c>
      <c r="Y54" s="2">
        <f t="shared" si="23"/>
        <v>81.283333333333346</v>
      </c>
      <c r="Z54" s="2">
        <f t="shared" si="23"/>
        <v>78.02</v>
      </c>
      <c r="AA54" s="2">
        <f t="shared" si="23"/>
        <v>75.58</v>
      </c>
      <c r="AB54" s="2">
        <f t="shared" si="23"/>
        <v>79.02</v>
      </c>
      <c r="AC54" s="2">
        <f t="shared" si="23"/>
        <v>77.42</v>
      </c>
      <c r="AD54" s="2">
        <f t="shared" si="23"/>
        <v>72.55</v>
      </c>
      <c r="AE54" s="2">
        <f t="shared" si="23"/>
        <v>73.723333333333315</v>
      </c>
      <c r="AF54" s="2">
        <f t="shared" si="23"/>
        <v>75.706666666666663</v>
      </c>
      <c r="AG54" s="2">
        <f t="shared" si="23"/>
        <v>77.103333333333339</v>
      </c>
      <c r="AH54" s="2">
        <f t="shared" si="23"/>
        <v>76.74666666666667</v>
      </c>
      <c r="AI54" s="2">
        <f t="shared" si="23"/>
        <v>73.226666666666674</v>
      </c>
      <c r="AJ54" s="2">
        <f t="shared" si="23"/>
        <v>78.293333333333337</v>
      </c>
      <c r="AK54" s="2">
        <f t="shared" si="23"/>
        <v>76.046666666666667</v>
      </c>
      <c r="AL54" s="2">
        <f t="shared" si="23"/>
        <v>82.146666666666661</v>
      </c>
      <c r="AM54" s="2">
        <f t="shared" si="23"/>
        <v>75.513333333333335</v>
      </c>
      <c r="AN54" s="2">
        <f t="shared" si="23"/>
        <v>80.7</v>
      </c>
      <c r="AO54" s="2">
        <f t="shared" si="23"/>
        <v>70.233333333333334</v>
      </c>
      <c r="AP54" s="2">
        <f t="shared" si="23"/>
        <v>79.053333333333327</v>
      </c>
      <c r="AQ54" s="2">
        <f t="shared" si="23"/>
        <v>75.666666666666671</v>
      </c>
      <c r="AR54" s="2">
        <f t="shared" si="23"/>
        <v>69.926666666666662</v>
      </c>
      <c r="AS54" s="2">
        <f t="shared" si="23"/>
        <v>77.663333333333341</v>
      </c>
      <c r="AT54" s="2">
        <f t="shared" si="23"/>
        <v>77.649999999999991</v>
      </c>
      <c r="AU54" s="2">
        <f t="shared" si="23"/>
        <v>76.553333333333327</v>
      </c>
      <c r="AV54" s="2">
        <f t="shared" si="23"/>
        <v>79.163333333333341</v>
      </c>
      <c r="AW54" s="2">
        <f t="shared" si="23"/>
        <v>76.45</v>
      </c>
      <c r="AX54" s="2">
        <f t="shared" si="23"/>
        <v>78.833333333333329</v>
      </c>
      <c r="AY54" s="2">
        <f t="shared" si="23"/>
        <v>81.463333333333324</v>
      </c>
      <c r="AZ54" s="2">
        <f t="shared" si="23"/>
        <v>76.34666666666665</v>
      </c>
      <c r="BA54" s="2">
        <f t="shared" si="23"/>
        <v>75.033333333333346</v>
      </c>
      <c r="BB54" s="2">
        <f t="shared" si="23"/>
        <v>72.876666666666665</v>
      </c>
      <c r="BC54" s="2">
        <f t="shared" si="23"/>
        <v>79.036666666666676</v>
      </c>
      <c r="BD54" s="2">
        <f t="shared" si="23"/>
        <v>78.836666666666659</v>
      </c>
      <c r="BE54" s="2">
        <f t="shared" si="23"/>
        <v>75.993333333333325</v>
      </c>
      <c r="BF54" s="2">
        <f t="shared" si="23"/>
        <v>74.470000000000013</v>
      </c>
      <c r="BG54" s="2">
        <f t="shared" si="23"/>
        <v>80.233333333333334</v>
      </c>
      <c r="BH54" s="2">
        <f t="shared" si="23"/>
        <v>77.766666666666666</v>
      </c>
      <c r="BI54" s="2">
        <f t="shared" si="23"/>
        <v>76.256666666666675</v>
      </c>
      <c r="BJ54" s="2">
        <f t="shared" si="23"/>
        <v>81.036666666666676</v>
      </c>
      <c r="BK54" s="2">
        <f t="shared" si="23"/>
        <v>75.430000000000007</v>
      </c>
      <c r="BL54" s="2">
        <f t="shared" si="23"/>
        <v>76.38000000000001</v>
      </c>
      <c r="BM54" s="2">
        <f t="shared" si="23"/>
        <v>82</v>
      </c>
      <c r="BN54" s="2">
        <f t="shared" si="23"/>
        <v>72.793333333333337</v>
      </c>
      <c r="BO54" s="2">
        <f t="shared" ref="BO54:CW54" si="24">AVERAGE(BO25:BO27)</f>
        <v>77.899999999999991</v>
      </c>
      <c r="BP54" s="2">
        <f t="shared" si="24"/>
        <v>76.11</v>
      </c>
      <c r="BQ54" s="2">
        <f t="shared" si="24"/>
        <v>73.77</v>
      </c>
      <c r="BR54" s="2">
        <f t="shared" si="24"/>
        <v>79.910000000000011</v>
      </c>
      <c r="BS54" s="2">
        <f t="shared" si="24"/>
        <v>75.7</v>
      </c>
      <c r="BT54" s="2">
        <f t="shared" si="24"/>
        <v>79.97</v>
      </c>
      <c r="BU54" s="2">
        <f t="shared" si="24"/>
        <v>83.326666666666654</v>
      </c>
      <c r="BV54" s="2">
        <f t="shared" si="24"/>
        <v>71.64</v>
      </c>
      <c r="BW54" s="2">
        <f t="shared" si="24"/>
        <v>74.463333333333324</v>
      </c>
      <c r="BX54" s="2">
        <f t="shared" si="24"/>
        <v>76.956666666666663</v>
      </c>
      <c r="BY54" s="2">
        <f t="shared" si="24"/>
        <v>78.38</v>
      </c>
      <c r="BZ54" s="2">
        <f t="shared" si="24"/>
        <v>80.943333333333342</v>
      </c>
      <c r="CA54" s="2">
        <f t="shared" si="24"/>
        <v>77.143333333333331</v>
      </c>
      <c r="CB54" s="2">
        <f t="shared" si="24"/>
        <v>80.456666666666663</v>
      </c>
      <c r="CC54" s="2">
        <f t="shared" si="24"/>
        <v>81.540000000000006</v>
      </c>
      <c r="CD54" s="2">
        <f t="shared" si="24"/>
        <v>74.8</v>
      </c>
      <c r="CE54" s="2">
        <f t="shared" si="24"/>
        <v>76.813333333333333</v>
      </c>
      <c r="CF54" s="2">
        <f t="shared" si="24"/>
        <v>73.273333333333326</v>
      </c>
      <c r="CG54" s="2">
        <f t="shared" si="24"/>
        <v>78.343333333333334</v>
      </c>
      <c r="CH54" s="2">
        <f t="shared" si="24"/>
        <v>77.376666666666665</v>
      </c>
      <c r="CI54" s="2">
        <f t="shared" si="24"/>
        <v>76.856666666666669</v>
      </c>
      <c r="CJ54" s="2">
        <f t="shared" si="24"/>
        <v>79.45</v>
      </c>
      <c r="CK54" s="2">
        <f t="shared" si="24"/>
        <v>75.783333333333346</v>
      </c>
      <c r="CL54" s="2">
        <f t="shared" si="24"/>
        <v>72.316666666666677</v>
      </c>
      <c r="CM54" s="2">
        <f t="shared" si="24"/>
        <v>80.203333333333333</v>
      </c>
      <c r="CN54" s="2">
        <f t="shared" si="24"/>
        <v>76.513333333333335</v>
      </c>
      <c r="CO54" s="2">
        <f t="shared" si="24"/>
        <v>78.606666666666669</v>
      </c>
      <c r="CP54" s="2">
        <f t="shared" si="24"/>
        <v>76.743333333333339</v>
      </c>
      <c r="CQ54" s="2">
        <f t="shared" si="24"/>
        <v>73.046666666666667</v>
      </c>
      <c r="CR54" s="2">
        <f t="shared" si="24"/>
        <v>78.38333333333334</v>
      </c>
      <c r="CS54" s="2">
        <f t="shared" si="24"/>
        <v>80.063333333333333</v>
      </c>
      <c r="CT54" s="2">
        <f t="shared" si="24"/>
        <v>78.353333333333339</v>
      </c>
      <c r="CU54" s="2">
        <f t="shared" si="24"/>
        <v>79.553333333333342</v>
      </c>
      <c r="CV54" s="2">
        <f t="shared" si="24"/>
        <v>79.433333333333323</v>
      </c>
      <c r="CW54" s="2">
        <f t="shared" si="24"/>
        <v>75.3</v>
      </c>
      <c r="CX54" s="2">
        <f t="shared" si="0"/>
        <v>77.08183333333335</v>
      </c>
    </row>
    <row r="55" spans="1:102" x14ac:dyDescent="0.2">
      <c r="A55" s="3" t="s">
        <v>23</v>
      </c>
      <c r="B55" s="2">
        <f>AVERAGE(B28:B30)</f>
        <v>79.066666666666663</v>
      </c>
      <c r="C55" s="2">
        <f t="shared" ref="C55:BN55" si="25">AVERAGE(C28:C30)</f>
        <v>75.40666666666668</v>
      </c>
      <c r="D55" s="2">
        <f t="shared" si="25"/>
        <v>75.256666666666675</v>
      </c>
      <c r="E55" s="2">
        <f t="shared" si="25"/>
        <v>74.646666666666661</v>
      </c>
      <c r="F55" s="2">
        <f t="shared" si="25"/>
        <v>73.73</v>
      </c>
      <c r="G55" s="2">
        <f t="shared" si="25"/>
        <v>77.88000000000001</v>
      </c>
      <c r="H55" s="2">
        <f t="shared" si="25"/>
        <v>79.846666666666678</v>
      </c>
      <c r="I55" s="2">
        <f t="shared" si="25"/>
        <v>74.713333333333338</v>
      </c>
      <c r="J55" s="2">
        <f t="shared" si="25"/>
        <v>77.286666666666676</v>
      </c>
      <c r="K55" s="2">
        <f t="shared" si="25"/>
        <v>81.213333333333324</v>
      </c>
      <c r="L55" s="2">
        <f t="shared" si="25"/>
        <v>77.23</v>
      </c>
      <c r="M55" s="2">
        <f t="shared" si="25"/>
        <v>75.136666666666656</v>
      </c>
      <c r="N55" s="2">
        <f t="shared" si="25"/>
        <v>78.010000000000005</v>
      </c>
      <c r="O55" s="2">
        <f t="shared" si="25"/>
        <v>76.346666666666678</v>
      </c>
      <c r="P55" s="2">
        <f t="shared" si="25"/>
        <v>81.853333333333339</v>
      </c>
      <c r="Q55" s="2">
        <f t="shared" si="25"/>
        <v>71.153333333333336</v>
      </c>
      <c r="R55" s="2">
        <f t="shared" si="25"/>
        <v>78.466666666666669</v>
      </c>
      <c r="S55" s="2">
        <f t="shared" si="25"/>
        <v>77.516666666666666</v>
      </c>
      <c r="T55" s="2">
        <f t="shared" si="25"/>
        <v>74.463333333333338</v>
      </c>
      <c r="U55" s="2">
        <f t="shared" si="25"/>
        <v>79.56</v>
      </c>
      <c r="V55" s="2">
        <f t="shared" si="25"/>
        <v>71.930000000000007</v>
      </c>
      <c r="W55" s="2">
        <f t="shared" si="25"/>
        <v>78.34333333333332</v>
      </c>
      <c r="X55" s="2">
        <f t="shared" si="25"/>
        <v>77.166666666666671</v>
      </c>
      <c r="Y55" s="2">
        <f t="shared" si="25"/>
        <v>77.24666666666667</v>
      </c>
      <c r="Z55" s="2">
        <f t="shared" si="25"/>
        <v>75.25333333333333</v>
      </c>
      <c r="AA55" s="2">
        <f t="shared" si="25"/>
        <v>78.033333333333317</v>
      </c>
      <c r="AB55" s="2">
        <f t="shared" si="25"/>
        <v>77.149999999999991</v>
      </c>
      <c r="AC55" s="2">
        <f t="shared" si="25"/>
        <v>80.06</v>
      </c>
      <c r="AD55" s="2">
        <f t="shared" si="25"/>
        <v>74.656666666666652</v>
      </c>
      <c r="AE55" s="2">
        <f t="shared" si="25"/>
        <v>76.913333333333341</v>
      </c>
      <c r="AF55" s="2">
        <f t="shared" si="25"/>
        <v>76.77</v>
      </c>
      <c r="AG55" s="2">
        <f t="shared" si="25"/>
        <v>79.209999999999994</v>
      </c>
      <c r="AH55" s="2">
        <f t="shared" si="25"/>
        <v>75.973333333333343</v>
      </c>
      <c r="AI55" s="2">
        <f t="shared" si="25"/>
        <v>81.349999999999994</v>
      </c>
      <c r="AJ55" s="2">
        <f t="shared" si="25"/>
        <v>78.226666666666674</v>
      </c>
      <c r="AK55" s="2">
        <f t="shared" si="25"/>
        <v>73.726666666666674</v>
      </c>
      <c r="AL55" s="2">
        <f t="shared" si="25"/>
        <v>78.61666666666666</v>
      </c>
      <c r="AM55" s="2">
        <f t="shared" si="25"/>
        <v>75.61666666666666</v>
      </c>
      <c r="AN55" s="2">
        <f t="shared" si="25"/>
        <v>75.989999999999995</v>
      </c>
      <c r="AO55" s="2">
        <f t="shared" si="25"/>
        <v>76.553333333333327</v>
      </c>
      <c r="AP55" s="2">
        <f t="shared" si="25"/>
        <v>80.040000000000006</v>
      </c>
      <c r="AQ55" s="2">
        <f t="shared" si="25"/>
        <v>75.75333333333333</v>
      </c>
      <c r="AR55" s="2">
        <f t="shared" si="25"/>
        <v>77.603333333333339</v>
      </c>
      <c r="AS55" s="2">
        <f t="shared" si="25"/>
        <v>81.469999999999985</v>
      </c>
      <c r="AT55" s="2">
        <f t="shared" si="25"/>
        <v>75.653333333333322</v>
      </c>
      <c r="AU55" s="2">
        <f t="shared" si="25"/>
        <v>79.853333333333339</v>
      </c>
      <c r="AV55" s="2">
        <f t="shared" si="25"/>
        <v>76.946666666666673</v>
      </c>
      <c r="AW55" s="2">
        <f t="shared" si="25"/>
        <v>77.093333333333348</v>
      </c>
      <c r="AX55" s="2">
        <f t="shared" si="25"/>
        <v>81.929999999999993</v>
      </c>
      <c r="AY55" s="2">
        <f t="shared" si="25"/>
        <v>74.63000000000001</v>
      </c>
      <c r="AZ55" s="2">
        <f t="shared" si="25"/>
        <v>78.766666666666666</v>
      </c>
      <c r="BA55" s="2">
        <f t="shared" si="25"/>
        <v>76.989999999999995</v>
      </c>
      <c r="BB55" s="2">
        <f t="shared" si="25"/>
        <v>73.756666666666661</v>
      </c>
      <c r="BC55" s="2">
        <f t="shared" si="25"/>
        <v>78.623333333333335</v>
      </c>
      <c r="BD55" s="2">
        <f t="shared" si="25"/>
        <v>74.709999999999994</v>
      </c>
      <c r="BE55" s="2">
        <f t="shared" si="25"/>
        <v>75.273333333333341</v>
      </c>
      <c r="BF55" s="2">
        <f t="shared" si="25"/>
        <v>73.526666666666657</v>
      </c>
      <c r="BG55" s="2">
        <f t="shared" si="25"/>
        <v>81.806666666666658</v>
      </c>
      <c r="BH55" s="2">
        <f t="shared" si="25"/>
        <v>81.436666666666667</v>
      </c>
      <c r="BI55" s="2">
        <f t="shared" si="25"/>
        <v>79.23</v>
      </c>
      <c r="BJ55" s="2">
        <f t="shared" si="25"/>
        <v>82.009999999999991</v>
      </c>
      <c r="BK55" s="2">
        <f t="shared" si="25"/>
        <v>76.826666666666668</v>
      </c>
      <c r="BL55" s="2">
        <f t="shared" si="25"/>
        <v>74.543333333333337</v>
      </c>
      <c r="BM55" s="2">
        <f t="shared" si="25"/>
        <v>79.64</v>
      </c>
      <c r="BN55" s="2">
        <f t="shared" si="25"/>
        <v>75.336666666666659</v>
      </c>
      <c r="BO55" s="2">
        <f t="shared" ref="BO55:CW55" si="26">AVERAGE(BO28:BO30)</f>
        <v>73.50333333333333</v>
      </c>
      <c r="BP55" s="2">
        <f t="shared" si="26"/>
        <v>85.660000000000011</v>
      </c>
      <c r="BQ55" s="2">
        <f t="shared" si="26"/>
        <v>79.256666666666661</v>
      </c>
      <c r="BR55" s="2">
        <f t="shared" si="26"/>
        <v>78.256666666666675</v>
      </c>
      <c r="BS55" s="2">
        <f t="shared" si="26"/>
        <v>75.226666666666674</v>
      </c>
      <c r="BT55" s="2">
        <f t="shared" si="26"/>
        <v>77.86</v>
      </c>
      <c r="BU55" s="2">
        <f t="shared" si="26"/>
        <v>78.13333333333334</v>
      </c>
      <c r="BV55" s="2">
        <f t="shared" si="26"/>
        <v>77.86666666666666</v>
      </c>
      <c r="BW55" s="2">
        <f t="shared" si="26"/>
        <v>75.86333333333333</v>
      </c>
      <c r="BX55" s="2">
        <f t="shared" si="26"/>
        <v>77.893333333333331</v>
      </c>
      <c r="BY55" s="2">
        <f t="shared" si="26"/>
        <v>79.83</v>
      </c>
      <c r="BZ55" s="2">
        <f t="shared" si="26"/>
        <v>69.963333333333338</v>
      </c>
      <c r="CA55" s="2">
        <f t="shared" si="26"/>
        <v>77.523333333333326</v>
      </c>
      <c r="CB55" s="2">
        <f t="shared" si="26"/>
        <v>80.576666666666668</v>
      </c>
      <c r="CC55" s="2">
        <f t="shared" si="26"/>
        <v>79.8</v>
      </c>
      <c r="CD55" s="2">
        <f t="shared" si="26"/>
        <v>78.606666666666669</v>
      </c>
      <c r="CE55" s="2">
        <f t="shared" si="26"/>
        <v>76.899999999999991</v>
      </c>
      <c r="CF55" s="2">
        <f t="shared" si="26"/>
        <v>77.216666666666669</v>
      </c>
      <c r="CG55" s="2">
        <f t="shared" si="26"/>
        <v>79.426666666666662</v>
      </c>
      <c r="CH55" s="2">
        <f t="shared" si="26"/>
        <v>80.88666666666667</v>
      </c>
      <c r="CI55" s="2">
        <f t="shared" si="26"/>
        <v>77.36999999999999</v>
      </c>
      <c r="CJ55" s="2">
        <f t="shared" si="26"/>
        <v>79.983333333333334</v>
      </c>
      <c r="CK55" s="2">
        <f t="shared" si="26"/>
        <v>76.853333333333339</v>
      </c>
      <c r="CL55" s="2">
        <f t="shared" si="26"/>
        <v>78.223333333333343</v>
      </c>
      <c r="CM55" s="2">
        <f t="shared" si="26"/>
        <v>82.586666666666659</v>
      </c>
      <c r="CN55" s="2">
        <f t="shared" si="26"/>
        <v>79.256666666666661</v>
      </c>
      <c r="CO55" s="2">
        <f t="shared" si="26"/>
        <v>75.813333333333333</v>
      </c>
      <c r="CP55" s="2">
        <f t="shared" si="26"/>
        <v>75.456666666666663</v>
      </c>
      <c r="CQ55" s="2">
        <f t="shared" si="26"/>
        <v>73.573333333333338</v>
      </c>
      <c r="CR55" s="2">
        <f t="shared" si="26"/>
        <v>79.25</v>
      </c>
      <c r="CS55" s="2">
        <f t="shared" si="26"/>
        <v>82.14</v>
      </c>
      <c r="CT55" s="2">
        <f t="shared" si="26"/>
        <v>80.83</v>
      </c>
      <c r="CU55" s="2">
        <f t="shared" si="26"/>
        <v>75.64</v>
      </c>
      <c r="CV55" s="2">
        <f t="shared" si="26"/>
        <v>78.416666666666671</v>
      </c>
      <c r="CW55" s="2">
        <f t="shared" si="26"/>
        <v>75.736666666666665</v>
      </c>
      <c r="CX55" s="2">
        <f t="shared" si="0"/>
        <v>77.524000000000001</v>
      </c>
    </row>
    <row r="56" spans="1:102" x14ac:dyDescent="0.2">
      <c r="A56" s="3" t="s">
        <v>24</v>
      </c>
      <c r="B56" s="2">
        <f>AVERAGE(B31:B33)</f>
        <v>78.966666666666683</v>
      </c>
      <c r="C56" s="2">
        <f t="shared" ref="C56:BN56" si="27">AVERAGE(C31:C33)</f>
        <v>80.69</v>
      </c>
      <c r="D56" s="2">
        <f t="shared" si="27"/>
        <v>76.116666666666674</v>
      </c>
      <c r="E56" s="2">
        <f t="shared" si="27"/>
        <v>74.833333333333329</v>
      </c>
      <c r="F56" s="2">
        <f t="shared" si="27"/>
        <v>74.353333333333339</v>
      </c>
      <c r="G56" s="2">
        <f t="shared" si="27"/>
        <v>79.88000000000001</v>
      </c>
      <c r="H56" s="2">
        <f t="shared" si="27"/>
        <v>76.943333333333328</v>
      </c>
      <c r="I56" s="2">
        <f t="shared" si="27"/>
        <v>74.31</v>
      </c>
      <c r="J56" s="2">
        <f t="shared" si="27"/>
        <v>77.40666666666668</v>
      </c>
      <c r="K56" s="2">
        <f t="shared" si="27"/>
        <v>76.823333333333338</v>
      </c>
      <c r="L56" s="2">
        <f t="shared" si="27"/>
        <v>78.959999999999994</v>
      </c>
      <c r="M56" s="2">
        <f t="shared" si="27"/>
        <v>77.213333333333338</v>
      </c>
      <c r="N56" s="2">
        <f t="shared" si="27"/>
        <v>73.86333333333333</v>
      </c>
      <c r="O56" s="2">
        <f t="shared" si="27"/>
        <v>80.83</v>
      </c>
      <c r="P56" s="2">
        <f t="shared" si="27"/>
        <v>78.179999999999993</v>
      </c>
      <c r="Q56" s="2">
        <f t="shared" si="27"/>
        <v>75.366666666666674</v>
      </c>
      <c r="R56" s="2">
        <f t="shared" si="27"/>
        <v>75.573333333333338</v>
      </c>
      <c r="S56" s="2">
        <f t="shared" si="27"/>
        <v>76.183333333333337</v>
      </c>
      <c r="T56" s="2">
        <f t="shared" si="27"/>
        <v>73.966666666666669</v>
      </c>
      <c r="U56" s="2">
        <f t="shared" si="27"/>
        <v>75.45</v>
      </c>
      <c r="V56" s="2">
        <f t="shared" si="27"/>
        <v>74.113333333333344</v>
      </c>
      <c r="W56" s="2">
        <f t="shared" si="27"/>
        <v>74.220000000000013</v>
      </c>
      <c r="X56" s="2">
        <f t="shared" si="27"/>
        <v>77.63666666666667</v>
      </c>
      <c r="Y56" s="2">
        <f t="shared" si="27"/>
        <v>74.903333333333336</v>
      </c>
      <c r="Z56" s="2">
        <f t="shared" si="27"/>
        <v>75.236666666666665</v>
      </c>
      <c r="AA56" s="2">
        <f t="shared" si="27"/>
        <v>79.11333333333333</v>
      </c>
      <c r="AB56" s="2">
        <f t="shared" si="27"/>
        <v>79.903333333333322</v>
      </c>
      <c r="AC56" s="2">
        <f t="shared" si="27"/>
        <v>73.986666666666679</v>
      </c>
      <c r="AD56" s="2">
        <f t="shared" si="27"/>
        <v>76.509999999999991</v>
      </c>
      <c r="AE56" s="2">
        <f t="shared" si="27"/>
        <v>74.339999999999989</v>
      </c>
      <c r="AF56" s="2">
        <f t="shared" si="27"/>
        <v>74.836666666666659</v>
      </c>
      <c r="AG56" s="2">
        <f t="shared" si="27"/>
        <v>80.783333333333331</v>
      </c>
      <c r="AH56" s="2">
        <f t="shared" si="27"/>
        <v>76.853333333333339</v>
      </c>
      <c r="AI56" s="2">
        <f t="shared" si="27"/>
        <v>78.396666666666661</v>
      </c>
      <c r="AJ56" s="2">
        <f t="shared" si="27"/>
        <v>78.766666666666666</v>
      </c>
      <c r="AK56" s="2">
        <f t="shared" si="27"/>
        <v>78.853333333333339</v>
      </c>
      <c r="AL56" s="2">
        <f t="shared" si="27"/>
        <v>75.36333333333333</v>
      </c>
      <c r="AM56" s="2">
        <f t="shared" si="27"/>
        <v>77.176666666666662</v>
      </c>
      <c r="AN56" s="2">
        <f t="shared" si="27"/>
        <v>76.029999999999987</v>
      </c>
      <c r="AO56" s="2">
        <f t="shared" si="27"/>
        <v>81.703333333333333</v>
      </c>
      <c r="AP56" s="2">
        <f t="shared" si="27"/>
        <v>80.00333333333333</v>
      </c>
      <c r="AQ56" s="2">
        <f t="shared" si="27"/>
        <v>76.336666666666659</v>
      </c>
      <c r="AR56" s="2">
        <f t="shared" si="27"/>
        <v>80.816666666666663</v>
      </c>
      <c r="AS56" s="2">
        <f t="shared" si="27"/>
        <v>76.67</v>
      </c>
      <c r="AT56" s="2">
        <f t="shared" si="27"/>
        <v>73.596666666666678</v>
      </c>
      <c r="AU56" s="2">
        <f t="shared" si="27"/>
        <v>79.183333333333337</v>
      </c>
      <c r="AV56" s="2">
        <f t="shared" si="27"/>
        <v>74.096666666666678</v>
      </c>
      <c r="AW56" s="2">
        <f t="shared" si="27"/>
        <v>80.536666666666676</v>
      </c>
      <c r="AX56" s="2">
        <f t="shared" si="27"/>
        <v>76.836666666666659</v>
      </c>
      <c r="AY56" s="2">
        <f t="shared" si="27"/>
        <v>78.540000000000006</v>
      </c>
      <c r="AZ56" s="2">
        <f t="shared" si="27"/>
        <v>78.776666666666657</v>
      </c>
      <c r="BA56" s="2">
        <f t="shared" si="27"/>
        <v>79.459999999999994</v>
      </c>
      <c r="BB56" s="2">
        <f t="shared" si="27"/>
        <v>75.08</v>
      </c>
      <c r="BC56" s="2">
        <f t="shared" si="27"/>
        <v>77.540000000000006</v>
      </c>
      <c r="BD56" s="2">
        <f t="shared" si="27"/>
        <v>76.290000000000006</v>
      </c>
      <c r="BE56" s="2">
        <f t="shared" si="27"/>
        <v>78.303333333333327</v>
      </c>
      <c r="BF56" s="2">
        <f t="shared" si="27"/>
        <v>82.15</v>
      </c>
      <c r="BG56" s="2">
        <f t="shared" si="27"/>
        <v>76.776666666666657</v>
      </c>
      <c r="BH56" s="2">
        <f t="shared" si="27"/>
        <v>76.846666666666678</v>
      </c>
      <c r="BI56" s="2">
        <f t="shared" si="27"/>
        <v>78.45</v>
      </c>
      <c r="BJ56" s="2">
        <f t="shared" si="27"/>
        <v>78.603333333333339</v>
      </c>
      <c r="BK56" s="2">
        <f t="shared" si="27"/>
        <v>74.88333333333334</v>
      </c>
      <c r="BL56" s="2">
        <f t="shared" si="27"/>
        <v>76.86</v>
      </c>
      <c r="BM56" s="2">
        <f t="shared" si="27"/>
        <v>77.923333333333332</v>
      </c>
      <c r="BN56" s="2">
        <f t="shared" si="27"/>
        <v>78.296666666666667</v>
      </c>
      <c r="BO56" s="2">
        <f t="shared" ref="BO56:CW56" si="28">AVERAGE(BO31:BO33)</f>
        <v>71.606666666666669</v>
      </c>
      <c r="BP56" s="2">
        <f t="shared" si="28"/>
        <v>74.033333333333346</v>
      </c>
      <c r="BQ56" s="2">
        <f t="shared" si="28"/>
        <v>74.17</v>
      </c>
      <c r="BR56" s="2">
        <f t="shared" si="28"/>
        <v>78.28</v>
      </c>
      <c r="BS56" s="2">
        <f t="shared" si="28"/>
        <v>78.436666666666667</v>
      </c>
      <c r="BT56" s="2">
        <f t="shared" si="28"/>
        <v>77.17</v>
      </c>
      <c r="BU56" s="2">
        <f t="shared" si="28"/>
        <v>77.543333333333337</v>
      </c>
      <c r="BV56" s="2">
        <f t="shared" si="28"/>
        <v>76.916666666666671</v>
      </c>
      <c r="BW56" s="2">
        <f t="shared" si="28"/>
        <v>77.64</v>
      </c>
      <c r="BX56" s="2">
        <f t="shared" si="28"/>
        <v>75.760000000000005</v>
      </c>
      <c r="BY56" s="2">
        <f t="shared" si="28"/>
        <v>80.27</v>
      </c>
      <c r="BZ56" s="2">
        <f t="shared" si="28"/>
        <v>75.13666666666667</v>
      </c>
      <c r="CA56" s="2">
        <f t="shared" si="28"/>
        <v>77.343333333333334</v>
      </c>
      <c r="CB56" s="2">
        <f t="shared" si="28"/>
        <v>75.816666666666677</v>
      </c>
      <c r="CC56" s="2">
        <f t="shared" si="28"/>
        <v>79.36999999999999</v>
      </c>
      <c r="CD56" s="2">
        <f t="shared" si="28"/>
        <v>74.48</v>
      </c>
      <c r="CE56" s="2">
        <f t="shared" si="28"/>
        <v>80.24666666666667</v>
      </c>
      <c r="CF56" s="2">
        <f t="shared" si="28"/>
        <v>78.516666666666666</v>
      </c>
      <c r="CG56" s="2">
        <f t="shared" si="28"/>
        <v>74.596666666666664</v>
      </c>
      <c r="CH56" s="2">
        <f t="shared" si="28"/>
        <v>78.183333333333323</v>
      </c>
      <c r="CI56" s="2">
        <f t="shared" si="28"/>
        <v>78.819999999999993</v>
      </c>
      <c r="CJ56" s="2">
        <f t="shared" si="28"/>
        <v>78.523333333333326</v>
      </c>
      <c r="CK56" s="2">
        <f t="shared" si="28"/>
        <v>77.33</v>
      </c>
      <c r="CL56" s="2">
        <f t="shared" si="28"/>
        <v>77.203333333333333</v>
      </c>
      <c r="CM56" s="2">
        <f t="shared" si="28"/>
        <v>77.11</v>
      </c>
      <c r="CN56" s="2">
        <f t="shared" si="28"/>
        <v>78.160000000000011</v>
      </c>
      <c r="CO56" s="2">
        <f t="shared" si="28"/>
        <v>73.856666666666669</v>
      </c>
      <c r="CP56" s="2">
        <f t="shared" si="28"/>
        <v>78.290000000000006</v>
      </c>
      <c r="CQ56" s="2">
        <f t="shared" si="28"/>
        <v>76.34</v>
      </c>
      <c r="CR56" s="2">
        <f t="shared" si="28"/>
        <v>80.283333333333346</v>
      </c>
      <c r="CS56" s="2">
        <f t="shared" si="28"/>
        <v>73.896666666666661</v>
      </c>
      <c r="CT56" s="2">
        <f t="shared" si="28"/>
        <v>77.663333333333327</v>
      </c>
      <c r="CU56" s="2">
        <f t="shared" si="28"/>
        <v>77.733333333333334</v>
      </c>
      <c r="CV56" s="2">
        <f t="shared" si="28"/>
        <v>77.266666666666666</v>
      </c>
      <c r="CW56" s="2">
        <f t="shared" si="28"/>
        <v>77.643333333333331</v>
      </c>
      <c r="CX56" s="2">
        <f t="shared" si="0"/>
        <v>77.131299999999996</v>
      </c>
    </row>
    <row r="57" spans="1:102" x14ac:dyDescent="0.2">
      <c r="A57" s="3" t="s">
        <v>25</v>
      </c>
      <c r="B57" s="2">
        <f>AVERAGE(B34:B36)</f>
        <v>73.453333333333333</v>
      </c>
      <c r="C57" s="2">
        <f t="shared" ref="C57:BN57" si="29">AVERAGE(C34:C36)</f>
        <v>77.660000000000011</v>
      </c>
      <c r="D57" s="2">
        <f t="shared" si="29"/>
        <v>75.716666666666654</v>
      </c>
      <c r="E57" s="2">
        <f t="shared" si="29"/>
        <v>78.209999999999994</v>
      </c>
      <c r="F57" s="2">
        <f t="shared" si="29"/>
        <v>77.31</v>
      </c>
      <c r="G57" s="2">
        <f t="shared" si="29"/>
        <v>72.066666666666663</v>
      </c>
      <c r="H57" s="2">
        <f t="shared" si="29"/>
        <v>79.89</v>
      </c>
      <c r="I57" s="2">
        <f t="shared" si="29"/>
        <v>75.923333333333332</v>
      </c>
      <c r="J57" s="2">
        <f t="shared" si="29"/>
        <v>80.083333333333329</v>
      </c>
      <c r="K57" s="2">
        <f t="shared" si="29"/>
        <v>80.296666666666667</v>
      </c>
      <c r="L57" s="2">
        <f t="shared" si="29"/>
        <v>79.25</v>
      </c>
      <c r="M57" s="2">
        <f t="shared" si="29"/>
        <v>78.546666666666667</v>
      </c>
      <c r="N57" s="2">
        <f t="shared" si="29"/>
        <v>75.776666666666657</v>
      </c>
      <c r="O57" s="2">
        <f t="shared" si="29"/>
        <v>78.616666666666674</v>
      </c>
      <c r="P57" s="2">
        <f t="shared" si="29"/>
        <v>79.016666666666666</v>
      </c>
      <c r="Q57" s="2">
        <f t="shared" si="29"/>
        <v>76.2</v>
      </c>
      <c r="R57" s="2">
        <f t="shared" si="29"/>
        <v>76.073333333333338</v>
      </c>
      <c r="S57" s="2">
        <f t="shared" si="29"/>
        <v>74.883333333333326</v>
      </c>
      <c r="T57" s="2">
        <f t="shared" si="29"/>
        <v>76.623333333333335</v>
      </c>
      <c r="U57" s="2">
        <f t="shared" si="29"/>
        <v>77.260000000000005</v>
      </c>
      <c r="V57" s="2">
        <f t="shared" si="29"/>
        <v>72.603333333333339</v>
      </c>
      <c r="W57" s="2">
        <f t="shared" si="29"/>
        <v>68.149999999999991</v>
      </c>
      <c r="X57" s="2">
        <f t="shared" si="29"/>
        <v>80.596666666666678</v>
      </c>
      <c r="Y57" s="2">
        <f t="shared" si="29"/>
        <v>72.513333333333335</v>
      </c>
      <c r="Z57" s="2">
        <f t="shared" si="29"/>
        <v>76.62</v>
      </c>
      <c r="AA57" s="2">
        <f t="shared" si="29"/>
        <v>78.95</v>
      </c>
      <c r="AB57" s="2">
        <f t="shared" si="29"/>
        <v>78.600000000000009</v>
      </c>
      <c r="AC57" s="2">
        <f t="shared" si="29"/>
        <v>76.720000000000013</v>
      </c>
      <c r="AD57" s="2">
        <f t="shared" si="29"/>
        <v>74.313333333333333</v>
      </c>
      <c r="AE57" s="2">
        <f t="shared" si="29"/>
        <v>75.509999999999991</v>
      </c>
      <c r="AF57" s="2">
        <f t="shared" si="29"/>
        <v>76.73</v>
      </c>
      <c r="AG57" s="2">
        <f t="shared" si="29"/>
        <v>73.803333333333327</v>
      </c>
      <c r="AH57" s="2">
        <f t="shared" si="29"/>
        <v>74.383333333333326</v>
      </c>
      <c r="AI57" s="2">
        <f t="shared" si="29"/>
        <v>77.013333333333335</v>
      </c>
      <c r="AJ57" s="2">
        <f t="shared" si="29"/>
        <v>78.429999999999993</v>
      </c>
      <c r="AK57" s="2">
        <f t="shared" si="29"/>
        <v>70.126666666666665</v>
      </c>
      <c r="AL57" s="2">
        <f t="shared" si="29"/>
        <v>77.58</v>
      </c>
      <c r="AM57" s="2">
        <f t="shared" si="29"/>
        <v>76.906666666666666</v>
      </c>
      <c r="AN57" s="2">
        <f t="shared" si="29"/>
        <v>82.49</v>
      </c>
      <c r="AO57" s="2">
        <f t="shared" si="29"/>
        <v>76.463333333333338</v>
      </c>
      <c r="AP57" s="2">
        <f t="shared" si="29"/>
        <v>77.393333333333331</v>
      </c>
      <c r="AQ57" s="2">
        <f t="shared" si="29"/>
        <v>78.276666666666671</v>
      </c>
      <c r="AR57" s="2">
        <f t="shared" si="29"/>
        <v>75.626666666666665</v>
      </c>
      <c r="AS57" s="2">
        <f t="shared" si="29"/>
        <v>77.90666666666668</v>
      </c>
      <c r="AT57" s="2">
        <f t="shared" si="29"/>
        <v>77.739999999999995</v>
      </c>
      <c r="AU57" s="2">
        <f t="shared" si="29"/>
        <v>77.339999999999989</v>
      </c>
      <c r="AV57" s="2">
        <f t="shared" si="29"/>
        <v>78.293333333333337</v>
      </c>
      <c r="AW57" s="2">
        <f t="shared" si="29"/>
        <v>76.176666666666677</v>
      </c>
      <c r="AX57" s="2">
        <f t="shared" si="29"/>
        <v>79.77</v>
      </c>
      <c r="AY57" s="2">
        <f t="shared" si="29"/>
        <v>80.993333333333339</v>
      </c>
      <c r="AZ57" s="2">
        <f t="shared" si="29"/>
        <v>73.966666666666683</v>
      </c>
      <c r="BA57" s="2">
        <f t="shared" si="29"/>
        <v>74.466666666666683</v>
      </c>
      <c r="BB57" s="2">
        <f t="shared" si="29"/>
        <v>78.416666666666671</v>
      </c>
      <c r="BC57" s="2">
        <f t="shared" si="29"/>
        <v>78.493333333333325</v>
      </c>
      <c r="BD57" s="2">
        <f t="shared" si="29"/>
        <v>76.886666666666656</v>
      </c>
      <c r="BE57" s="2">
        <f t="shared" si="29"/>
        <v>75.05</v>
      </c>
      <c r="BF57" s="2">
        <f t="shared" si="29"/>
        <v>77.61666666666666</v>
      </c>
      <c r="BG57" s="2">
        <f t="shared" si="29"/>
        <v>77.966666666666654</v>
      </c>
      <c r="BH57" s="2">
        <f t="shared" si="29"/>
        <v>79.196666666666658</v>
      </c>
      <c r="BI57" s="2">
        <f t="shared" si="29"/>
        <v>74.993333333333325</v>
      </c>
      <c r="BJ57" s="2">
        <f t="shared" si="29"/>
        <v>77.8</v>
      </c>
      <c r="BK57" s="2">
        <f t="shared" si="29"/>
        <v>77.11</v>
      </c>
      <c r="BL57" s="2">
        <f t="shared" si="29"/>
        <v>73.003333333333345</v>
      </c>
      <c r="BM57" s="2">
        <f t="shared" si="29"/>
        <v>78.67</v>
      </c>
      <c r="BN57" s="2">
        <f t="shared" si="29"/>
        <v>81.436666666666667</v>
      </c>
      <c r="BO57" s="2">
        <f t="shared" ref="BO57:CW57" si="30">AVERAGE(BO34:BO36)</f>
        <v>81.936666666666667</v>
      </c>
      <c r="BP57" s="2">
        <f t="shared" si="30"/>
        <v>75.24666666666667</v>
      </c>
      <c r="BQ57" s="2">
        <f t="shared" si="30"/>
        <v>76.86333333333333</v>
      </c>
      <c r="BR57" s="2">
        <f t="shared" si="30"/>
        <v>78.256666666666675</v>
      </c>
      <c r="BS57" s="2">
        <f t="shared" si="30"/>
        <v>80.260000000000005</v>
      </c>
      <c r="BT57" s="2">
        <f t="shared" si="30"/>
        <v>72.5</v>
      </c>
      <c r="BU57" s="2">
        <f t="shared" si="30"/>
        <v>76.45</v>
      </c>
      <c r="BV57" s="2">
        <f t="shared" si="30"/>
        <v>77.053333333333327</v>
      </c>
      <c r="BW57" s="2">
        <f t="shared" si="30"/>
        <v>72.406666666666652</v>
      </c>
      <c r="BX57" s="2">
        <f t="shared" si="30"/>
        <v>77.853333333333339</v>
      </c>
      <c r="BY57" s="2">
        <f t="shared" si="30"/>
        <v>78.836666666666659</v>
      </c>
      <c r="BZ57" s="2">
        <f t="shared" si="30"/>
        <v>76.073333333333338</v>
      </c>
      <c r="CA57" s="2">
        <f t="shared" si="30"/>
        <v>77.553333333333327</v>
      </c>
      <c r="CB57" s="2">
        <f t="shared" si="30"/>
        <v>79.356666666666669</v>
      </c>
      <c r="CC57" s="2">
        <f t="shared" si="30"/>
        <v>78.339999999999989</v>
      </c>
      <c r="CD57" s="2">
        <f t="shared" si="30"/>
        <v>75.243333333333339</v>
      </c>
      <c r="CE57" s="2">
        <f t="shared" si="30"/>
        <v>77.150000000000006</v>
      </c>
      <c r="CF57" s="2">
        <f t="shared" si="30"/>
        <v>75.766666666666652</v>
      </c>
      <c r="CG57" s="2">
        <f t="shared" si="30"/>
        <v>76.513333333333335</v>
      </c>
      <c r="CH57" s="2">
        <f t="shared" si="30"/>
        <v>80.723333333333343</v>
      </c>
      <c r="CI57" s="2">
        <f t="shared" si="30"/>
        <v>81.28</v>
      </c>
      <c r="CJ57" s="2">
        <f t="shared" si="30"/>
        <v>77.896666666666661</v>
      </c>
      <c r="CK57" s="2">
        <f t="shared" si="30"/>
        <v>77.823333333333338</v>
      </c>
      <c r="CL57" s="2">
        <f t="shared" si="30"/>
        <v>77.24666666666667</v>
      </c>
      <c r="CM57" s="2">
        <f t="shared" si="30"/>
        <v>77.463333333333324</v>
      </c>
      <c r="CN57" s="2">
        <f t="shared" si="30"/>
        <v>78.24666666666667</v>
      </c>
      <c r="CO57" s="2">
        <f t="shared" si="30"/>
        <v>75.313333333333333</v>
      </c>
      <c r="CP57" s="2">
        <f t="shared" si="30"/>
        <v>75.686666666666667</v>
      </c>
      <c r="CQ57" s="2">
        <f t="shared" si="30"/>
        <v>80.23</v>
      </c>
      <c r="CR57" s="2">
        <f t="shared" si="30"/>
        <v>79.24666666666667</v>
      </c>
      <c r="CS57" s="2">
        <f t="shared" si="30"/>
        <v>78.366666666666674</v>
      </c>
      <c r="CT57" s="2">
        <f t="shared" si="30"/>
        <v>77.19</v>
      </c>
      <c r="CU57" s="2">
        <f t="shared" si="30"/>
        <v>78.503333333333345</v>
      </c>
      <c r="CV57" s="2">
        <f t="shared" si="30"/>
        <v>73.603333333333339</v>
      </c>
      <c r="CW57" s="2">
        <f t="shared" si="30"/>
        <v>71.456666666666663</v>
      </c>
      <c r="CX57" s="2">
        <f t="shared" si="0"/>
        <v>76.998866666666657</v>
      </c>
    </row>
    <row r="58" spans="1:102" x14ac:dyDescent="0.2">
      <c r="A58" s="3" t="s">
        <v>26</v>
      </c>
      <c r="B58" s="2">
        <f>AVERAGE(B37:B39)</f>
        <v>73.173333333333332</v>
      </c>
      <c r="C58" s="2">
        <f t="shared" ref="C58:BN58" si="31">AVERAGE(C37:C39)</f>
        <v>79.739999999999995</v>
      </c>
      <c r="D58" s="2">
        <f t="shared" si="31"/>
        <v>73.873333333333335</v>
      </c>
      <c r="E58" s="2">
        <f t="shared" si="31"/>
        <v>74.213333333333324</v>
      </c>
      <c r="F58" s="2">
        <f t="shared" si="31"/>
        <v>80.453333333333333</v>
      </c>
      <c r="G58" s="2">
        <f t="shared" si="31"/>
        <v>76.146666666666661</v>
      </c>
      <c r="H58" s="2">
        <f t="shared" si="31"/>
        <v>80.263333333333321</v>
      </c>
      <c r="I58" s="2">
        <f t="shared" si="31"/>
        <v>80.526666666666657</v>
      </c>
      <c r="J58" s="2">
        <f t="shared" si="31"/>
        <v>71.506666666666661</v>
      </c>
      <c r="K58" s="2">
        <f t="shared" si="31"/>
        <v>75.126666666666665</v>
      </c>
      <c r="L58" s="2">
        <f t="shared" si="31"/>
        <v>71.566666666666663</v>
      </c>
      <c r="M58" s="2">
        <f t="shared" si="31"/>
        <v>76.929999999999993</v>
      </c>
      <c r="N58" s="2">
        <f t="shared" si="31"/>
        <v>77.506666666666675</v>
      </c>
      <c r="O58" s="2">
        <f t="shared" si="31"/>
        <v>73.989999999999995</v>
      </c>
      <c r="P58" s="2">
        <f t="shared" si="31"/>
        <v>75.006666666666661</v>
      </c>
      <c r="Q58" s="2">
        <f t="shared" si="31"/>
        <v>82.92</v>
      </c>
      <c r="R58" s="2">
        <f t="shared" si="31"/>
        <v>71.27</v>
      </c>
      <c r="S58" s="2">
        <f t="shared" si="31"/>
        <v>79.466666666666654</v>
      </c>
      <c r="T58" s="2">
        <f t="shared" si="31"/>
        <v>74.52</v>
      </c>
      <c r="U58" s="2">
        <f t="shared" si="31"/>
        <v>82.293333333333337</v>
      </c>
      <c r="V58" s="2">
        <f t="shared" si="31"/>
        <v>72.913333333333341</v>
      </c>
      <c r="W58" s="2">
        <f t="shared" si="31"/>
        <v>76.413333333333341</v>
      </c>
      <c r="X58" s="2">
        <f t="shared" si="31"/>
        <v>80.173333333333346</v>
      </c>
      <c r="Y58" s="2">
        <f t="shared" si="31"/>
        <v>79.65666666666668</v>
      </c>
      <c r="Z58" s="2">
        <f t="shared" si="31"/>
        <v>76.63666666666667</v>
      </c>
      <c r="AA58" s="2">
        <f t="shared" si="31"/>
        <v>79.009999999999991</v>
      </c>
      <c r="AB58" s="2">
        <f t="shared" si="31"/>
        <v>76.953333333333333</v>
      </c>
      <c r="AC58" s="2">
        <f t="shared" si="31"/>
        <v>76.693333333333328</v>
      </c>
      <c r="AD58" s="2">
        <f t="shared" si="31"/>
        <v>78.716666666666669</v>
      </c>
      <c r="AE58" s="2">
        <f t="shared" si="31"/>
        <v>72.373333333333335</v>
      </c>
      <c r="AF58" s="2">
        <f t="shared" si="31"/>
        <v>79.803333333333327</v>
      </c>
      <c r="AG58" s="2">
        <f t="shared" si="31"/>
        <v>77.336666666666659</v>
      </c>
      <c r="AH58" s="2">
        <f t="shared" si="31"/>
        <v>75.559999999999988</v>
      </c>
      <c r="AI58" s="2">
        <f t="shared" si="31"/>
        <v>75.366666666666674</v>
      </c>
      <c r="AJ58" s="2">
        <f t="shared" si="31"/>
        <v>80.733333333333334</v>
      </c>
      <c r="AK58" s="2">
        <f t="shared" si="31"/>
        <v>71.936666666666667</v>
      </c>
      <c r="AL58" s="2">
        <f t="shared" si="31"/>
        <v>81.219999999999985</v>
      </c>
      <c r="AM58" s="2">
        <f t="shared" si="31"/>
        <v>75.423333333333332</v>
      </c>
      <c r="AN58" s="2">
        <f t="shared" si="31"/>
        <v>81.19</v>
      </c>
      <c r="AO58" s="2">
        <f t="shared" si="31"/>
        <v>78.326666666666668</v>
      </c>
      <c r="AP58" s="2">
        <f t="shared" si="31"/>
        <v>81.293333333333337</v>
      </c>
      <c r="AQ58" s="2">
        <f t="shared" si="31"/>
        <v>73.043333333333337</v>
      </c>
      <c r="AR58" s="2">
        <f t="shared" si="31"/>
        <v>74.206666666666663</v>
      </c>
      <c r="AS58" s="2">
        <f t="shared" si="31"/>
        <v>77.5</v>
      </c>
      <c r="AT58" s="2">
        <f t="shared" si="31"/>
        <v>76.74666666666667</v>
      </c>
      <c r="AU58" s="2">
        <f t="shared" si="31"/>
        <v>80.06</v>
      </c>
      <c r="AV58" s="2">
        <f t="shared" si="31"/>
        <v>76.966666666666654</v>
      </c>
      <c r="AW58" s="2">
        <f t="shared" si="31"/>
        <v>77.69</v>
      </c>
      <c r="AX58" s="2">
        <f t="shared" si="31"/>
        <v>73.61333333333333</v>
      </c>
      <c r="AY58" s="2">
        <f t="shared" si="31"/>
        <v>77.453333333333333</v>
      </c>
      <c r="AZ58" s="2">
        <f t="shared" si="31"/>
        <v>73.413333333333327</v>
      </c>
      <c r="BA58" s="2">
        <f t="shared" si="31"/>
        <v>74.283333333333346</v>
      </c>
      <c r="BB58" s="2">
        <f t="shared" si="31"/>
        <v>71.613333333333344</v>
      </c>
      <c r="BC58" s="2">
        <f t="shared" si="31"/>
        <v>74.63333333333334</v>
      </c>
      <c r="BD58" s="2">
        <f t="shared" si="31"/>
        <v>78.443333333333342</v>
      </c>
      <c r="BE58" s="2">
        <f t="shared" si="31"/>
        <v>78.686666666666667</v>
      </c>
      <c r="BF58" s="2">
        <f t="shared" si="31"/>
        <v>77.743333333333339</v>
      </c>
      <c r="BG58" s="2">
        <f t="shared" si="31"/>
        <v>73.83</v>
      </c>
      <c r="BH58" s="2">
        <f t="shared" si="31"/>
        <v>74.67</v>
      </c>
      <c r="BI58" s="2">
        <f t="shared" si="31"/>
        <v>73.06</v>
      </c>
      <c r="BJ58" s="2">
        <f t="shared" si="31"/>
        <v>78.62</v>
      </c>
      <c r="BK58" s="2">
        <f t="shared" si="31"/>
        <v>77.350000000000009</v>
      </c>
      <c r="BL58" s="2">
        <f t="shared" si="31"/>
        <v>76.033333333333331</v>
      </c>
      <c r="BM58" s="2">
        <f t="shared" si="31"/>
        <v>76.943333333333328</v>
      </c>
      <c r="BN58" s="2">
        <f t="shared" si="31"/>
        <v>74.00333333333333</v>
      </c>
      <c r="BO58" s="2">
        <f t="shared" ref="BO58:CW58" si="32">AVERAGE(BO37:BO39)</f>
        <v>78.930000000000007</v>
      </c>
      <c r="BP58" s="2">
        <f t="shared" si="32"/>
        <v>74.143333333333331</v>
      </c>
      <c r="BQ58" s="2">
        <f t="shared" si="32"/>
        <v>74.756666666666661</v>
      </c>
      <c r="BR58" s="2">
        <f t="shared" si="32"/>
        <v>74.733333333333334</v>
      </c>
      <c r="BS58" s="2">
        <f t="shared" si="32"/>
        <v>79.693333333333328</v>
      </c>
      <c r="BT58" s="2">
        <f t="shared" si="32"/>
        <v>77.089999999999989</v>
      </c>
      <c r="BU58" s="2">
        <f t="shared" si="32"/>
        <v>77.410000000000011</v>
      </c>
      <c r="BV58" s="2">
        <f t="shared" si="32"/>
        <v>77.77</v>
      </c>
      <c r="BW58" s="2">
        <f t="shared" si="32"/>
        <v>72.063333333333333</v>
      </c>
      <c r="BX58" s="2">
        <f t="shared" si="32"/>
        <v>73.040000000000006</v>
      </c>
      <c r="BY58" s="2">
        <f t="shared" si="32"/>
        <v>75.040000000000006</v>
      </c>
      <c r="BZ58" s="2">
        <f t="shared" si="32"/>
        <v>79.036666666666676</v>
      </c>
      <c r="CA58" s="2">
        <f t="shared" si="32"/>
        <v>73.819999999999993</v>
      </c>
      <c r="CB58" s="2">
        <f t="shared" si="32"/>
        <v>76.083333333333329</v>
      </c>
      <c r="CC58" s="2">
        <f t="shared" si="32"/>
        <v>78.89</v>
      </c>
      <c r="CD58" s="2">
        <f t="shared" si="32"/>
        <v>76.416666666666671</v>
      </c>
      <c r="CE58" s="2">
        <f t="shared" si="32"/>
        <v>72.283333333333346</v>
      </c>
      <c r="CF58" s="2">
        <f t="shared" si="32"/>
        <v>75.893333333333331</v>
      </c>
      <c r="CG58" s="2">
        <f t="shared" si="32"/>
        <v>75.926666666666662</v>
      </c>
      <c r="CH58" s="2">
        <f t="shared" si="32"/>
        <v>79.75</v>
      </c>
      <c r="CI58" s="2">
        <f t="shared" si="32"/>
        <v>81.589999999999989</v>
      </c>
      <c r="CJ58" s="2">
        <f t="shared" si="32"/>
        <v>77.576666666666668</v>
      </c>
      <c r="CK58" s="2">
        <f t="shared" si="32"/>
        <v>77.533333333333346</v>
      </c>
      <c r="CL58" s="2">
        <f t="shared" si="32"/>
        <v>77.05</v>
      </c>
      <c r="CM58" s="2">
        <f t="shared" si="32"/>
        <v>80.75</v>
      </c>
      <c r="CN58" s="2">
        <f t="shared" si="32"/>
        <v>77.373333333333335</v>
      </c>
      <c r="CO58" s="2">
        <f t="shared" si="32"/>
        <v>76.89</v>
      </c>
      <c r="CP58" s="2">
        <f t="shared" si="32"/>
        <v>76.89</v>
      </c>
      <c r="CQ58" s="2">
        <f t="shared" si="32"/>
        <v>78.23</v>
      </c>
      <c r="CR58" s="2">
        <f t="shared" si="32"/>
        <v>78.38000000000001</v>
      </c>
      <c r="CS58" s="2">
        <f t="shared" si="32"/>
        <v>74.89</v>
      </c>
      <c r="CT58" s="2">
        <f t="shared" si="32"/>
        <v>73.280000000000015</v>
      </c>
      <c r="CU58" s="2">
        <f t="shared" si="32"/>
        <v>80.739999999999995</v>
      </c>
      <c r="CV58" s="2">
        <f t="shared" si="32"/>
        <v>73.736666666666679</v>
      </c>
      <c r="CW58" s="2">
        <f t="shared" si="32"/>
        <v>73.803333333333342</v>
      </c>
      <c r="CX58" s="2">
        <f t="shared" si="0"/>
        <v>76.603133333333375</v>
      </c>
    </row>
    <row r="59" spans="1:102" x14ac:dyDescent="0.2">
      <c r="A59" s="3"/>
      <c r="B59" s="2">
        <f>AVERAGE(B47:B58)</f>
        <v>77.523055555555558</v>
      </c>
      <c r="C59" s="2">
        <f t="shared" ref="C59:BN59" si="33">AVERAGE(C47:C58)</f>
        <v>77.020277777777792</v>
      </c>
      <c r="D59" s="2">
        <f t="shared" si="33"/>
        <v>75.536666666666676</v>
      </c>
      <c r="E59" s="2">
        <f t="shared" si="33"/>
        <v>76.216111111111118</v>
      </c>
      <c r="F59" s="2">
        <f t="shared" si="33"/>
        <v>76.728055555555557</v>
      </c>
      <c r="G59" s="2">
        <f t="shared" si="33"/>
        <v>76.647499999999994</v>
      </c>
      <c r="H59" s="2">
        <f t="shared" si="33"/>
        <v>78.778611111111118</v>
      </c>
      <c r="I59" s="2">
        <f t="shared" si="33"/>
        <v>76.281666666666666</v>
      </c>
      <c r="J59" s="2">
        <f t="shared" si="33"/>
        <v>77.655833333333334</v>
      </c>
      <c r="K59" s="2">
        <f t="shared" si="33"/>
        <v>77.525833333333352</v>
      </c>
      <c r="L59" s="2">
        <f t="shared" si="33"/>
        <v>76.534166666666678</v>
      </c>
      <c r="M59" s="2">
        <f t="shared" si="33"/>
        <v>76.138888888888872</v>
      </c>
      <c r="N59" s="2">
        <f t="shared" si="33"/>
        <v>77.012777777777771</v>
      </c>
      <c r="O59" s="2">
        <f t="shared" si="33"/>
        <v>76.851944444444456</v>
      </c>
      <c r="P59" s="2">
        <f t="shared" si="33"/>
        <v>77.388055555555539</v>
      </c>
      <c r="Q59" s="2">
        <f t="shared" si="33"/>
        <v>76.697777777777773</v>
      </c>
      <c r="R59" s="2">
        <f t="shared" si="33"/>
        <v>77.12722222222223</v>
      </c>
      <c r="S59" s="2">
        <f t="shared" si="33"/>
        <v>77.704444444444462</v>
      </c>
      <c r="T59" s="2">
        <f t="shared" si="33"/>
        <v>75.671111111111117</v>
      </c>
      <c r="U59" s="2">
        <f t="shared" si="33"/>
        <v>76.701666666666668</v>
      </c>
      <c r="V59" s="2">
        <f t="shared" si="33"/>
        <v>75.923333333333332</v>
      </c>
      <c r="W59" s="2">
        <f t="shared" si="33"/>
        <v>75.006388888888878</v>
      </c>
      <c r="X59" s="2">
        <f t="shared" si="33"/>
        <v>77.498888888888885</v>
      </c>
      <c r="Y59" s="2">
        <f t="shared" si="33"/>
        <v>77.016388888888883</v>
      </c>
      <c r="Z59" s="2">
        <f t="shared" si="33"/>
        <v>76.286388888888879</v>
      </c>
      <c r="AA59" s="2">
        <f t="shared" si="33"/>
        <v>77.855555555555554</v>
      </c>
      <c r="AB59" s="2">
        <f t="shared" si="33"/>
        <v>76.715000000000003</v>
      </c>
      <c r="AC59" s="2">
        <f t="shared" si="33"/>
        <v>77.508055555555572</v>
      </c>
      <c r="AD59" s="2">
        <f t="shared" si="33"/>
        <v>76.969722222222217</v>
      </c>
      <c r="AE59" s="2">
        <f t="shared" si="33"/>
        <v>75.158611111111114</v>
      </c>
      <c r="AF59" s="2">
        <f t="shared" si="33"/>
        <v>78.452500000000001</v>
      </c>
      <c r="AG59" s="2">
        <f t="shared" si="33"/>
        <v>77.414444444444442</v>
      </c>
      <c r="AH59" s="2">
        <f t="shared" si="33"/>
        <v>77.834999999999994</v>
      </c>
      <c r="AI59" s="2">
        <f t="shared" si="33"/>
        <v>77.12444444444445</v>
      </c>
      <c r="AJ59" s="2">
        <f t="shared" si="33"/>
        <v>76.379166666666663</v>
      </c>
      <c r="AK59" s="2">
        <f t="shared" si="33"/>
        <v>76.984999999999999</v>
      </c>
      <c r="AL59" s="2">
        <f t="shared" si="33"/>
        <v>78.710000000000008</v>
      </c>
      <c r="AM59" s="2">
        <f t="shared" si="33"/>
        <v>76.814166666666651</v>
      </c>
      <c r="AN59" s="2">
        <f t="shared" si="33"/>
        <v>77.553333333333342</v>
      </c>
      <c r="AO59" s="2">
        <f t="shared" si="33"/>
        <v>76.43416666666667</v>
      </c>
      <c r="AP59" s="2">
        <f t="shared" si="33"/>
        <v>78.039166666666659</v>
      </c>
      <c r="AQ59" s="2">
        <f t="shared" si="33"/>
        <v>76.123611111111103</v>
      </c>
      <c r="AR59" s="2">
        <f t="shared" si="33"/>
        <v>75.913611111111109</v>
      </c>
      <c r="AS59" s="2">
        <f t="shared" si="33"/>
        <v>76.885555555555541</v>
      </c>
      <c r="AT59" s="2">
        <f t="shared" si="33"/>
        <v>76.024166666666659</v>
      </c>
      <c r="AU59" s="2">
        <f t="shared" si="33"/>
        <v>77.745000000000005</v>
      </c>
      <c r="AV59" s="2">
        <f t="shared" si="33"/>
        <v>77.248055555555553</v>
      </c>
      <c r="AW59" s="2">
        <f t="shared" si="33"/>
        <v>77.312222222222218</v>
      </c>
      <c r="AX59" s="2">
        <f t="shared" si="33"/>
        <v>76.751666666666679</v>
      </c>
      <c r="AY59" s="2">
        <f t="shared" si="33"/>
        <v>78.557500000000005</v>
      </c>
      <c r="AZ59" s="2">
        <f t="shared" si="33"/>
        <v>77.559444444444452</v>
      </c>
      <c r="BA59" s="2">
        <f t="shared" si="33"/>
        <v>75.809444444444452</v>
      </c>
      <c r="BB59" s="2">
        <f t="shared" si="33"/>
        <v>75.728055555555557</v>
      </c>
      <c r="BC59" s="2">
        <f t="shared" si="33"/>
        <v>77.051666666666662</v>
      </c>
      <c r="BD59" s="2">
        <f t="shared" si="33"/>
        <v>75.75833333333334</v>
      </c>
      <c r="BE59" s="2">
        <f t="shared" si="33"/>
        <v>75.482500000000002</v>
      </c>
      <c r="BF59" s="2">
        <f t="shared" si="33"/>
        <v>77.430277777777789</v>
      </c>
      <c r="BG59" s="2">
        <f t="shared" si="33"/>
        <v>78.953611111111115</v>
      </c>
      <c r="BH59" s="2">
        <f t="shared" si="33"/>
        <v>77.979722222222208</v>
      </c>
      <c r="BI59" s="2">
        <f t="shared" si="33"/>
        <v>76.602777777777774</v>
      </c>
      <c r="BJ59" s="2">
        <f t="shared" si="33"/>
        <v>78.252499999999998</v>
      </c>
      <c r="BK59" s="2">
        <f t="shared" si="33"/>
        <v>76.729722222222222</v>
      </c>
      <c r="BL59" s="2">
        <f t="shared" si="33"/>
        <v>76.217222222222219</v>
      </c>
      <c r="BM59" s="2">
        <f t="shared" si="33"/>
        <v>78.344166666666652</v>
      </c>
      <c r="BN59" s="2">
        <f t="shared" si="33"/>
        <v>77.313888888888883</v>
      </c>
      <c r="BO59" s="2">
        <f t="shared" ref="BO59:CW59" si="34">AVERAGE(BO47:BO58)</f>
        <v>77.834999999999994</v>
      </c>
      <c r="BP59" s="2">
        <f t="shared" si="34"/>
        <v>77.916666666666671</v>
      </c>
      <c r="BQ59" s="2">
        <f t="shared" si="34"/>
        <v>76.57138888888889</v>
      </c>
      <c r="BR59" s="2">
        <f t="shared" si="34"/>
        <v>76.739999999999995</v>
      </c>
      <c r="BS59" s="2">
        <f t="shared" si="34"/>
        <v>76.659166666666678</v>
      </c>
      <c r="BT59" s="2">
        <f t="shared" si="34"/>
        <v>78.149166666666673</v>
      </c>
      <c r="BU59" s="2">
        <f t="shared" si="34"/>
        <v>78.841111111111104</v>
      </c>
      <c r="BV59" s="2">
        <f t="shared" si="34"/>
        <v>76.297777777777767</v>
      </c>
      <c r="BW59" s="2">
        <f t="shared" si="34"/>
        <v>75.118611111111122</v>
      </c>
      <c r="BX59" s="2">
        <f t="shared" si="34"/>
        <v>75.99666666666667</v>
      </c>
      <c r="BY59" s="2">
        <f t="shared" si="34"/>
        <v>77.875277777777782</v>
      </c>
      <c r="BZ59" s="2">
        <f t="shared" si="34"/>
        <v>77.011944444444453</v>
      </c>
      <c r="CA59" s="2">
        <f t="shared" si="34"/>
        <v>77.130833333333328</v>
      </c>
      <c r="CB59" s="2">
        <f t="shared" si="34"/>
        <v>77.325277777777799</v>
      </c>
      <c r="CC59" s="2">
        <f t="shared" si="34"/>
        <v>77.873055555555553</v>
      </c>
      <c r="CD59" s="2">
        <f t="shared" si="34"/>
        <v>76.359444444444435</v>
      </c>
      <c r="CE59" s="2">
        <f t="shared" si="34"/>
        <v>76.310833333333335</v>
      </c>
      <c r="CF59" s="2">
        <f t="shared" si="34"/>
        <v>75.510277777777773</v>
      </c>
      <c r="CG59" s="2">
        <f t="shared" si="34"/>
        <v>77.731388888888887</v>
      </c>
      <c r="CH59" s="2">
        <f t="shared" si="34"/>
        <v>77.205277777777766</v>
      </c>
      <c r="CI59" s="2">
        <f t="shared" si="34"/>
        <v>77.283055555555549</v>
      </c>
      <c r="CJ59" s="2">
        <f t="shared" si="34"/>
        <v>77.666944444444439</v>
      </c>
      <c r="CK59" s="2">
        <f t="shared" si="34"/>
        <v>76.794444444444437</v>
      </c>
      <c r="CL59" s="2">
        <f t="shared" si="34"/>
        <v>77.080555555555563</v>
      </c>
      <c r="CM59" s="2">
        <f t="shared" si="34"/>
        <v>76.405000000000015</v>
      </c>
      <c r="CN59" s="2">
        <f t="shared" si="34"/>
        <v>78.179444444444442</v>
      </c>
      <c r="CO59" s="2">
        <f t="shared" si="34"/>
        <v>75.766944444444462</v>
      </c>
      <c r="CP59" s="2">
        <f t="shared" si="34"/>
        <v>77.027777777777786</v>
      </c>
      <c r="CQ59" s="2">
        <f t="shared" si="34"/>
        <v>76.254166666666677</v>
      </c>
      <c r="CR59" s="2">
        <f t="shared" si="34"/>
        <v>78.522499999999994</v>
      </c>
      <c r="CS59" s="2">
        <f t="shared" si="34"/>
        <v>77.753888888888881</v>
      </c>
      <c r="CT59" s="2">
        <f t="shared" si="34"/>
        <v>76.26055555555557</v>
      </c>
      <c r="CU59" s="2">
        <f t="shared" si="34"/>
        <v>78.48</v>
      </c>
      <c r="CV59" s="2">
        <f t="shared" si="34"/>
        <v>76.542222222222222</v>
      </c>
      <c r="CW59" s="2">
        <f t="shared" si="34"/>
        <v>77.055833333333339</v>
      </c>
      <c r="CX59" s="2">
        <f t="shared" si="0"/>
        <v>77.0072861111111</v>
      </c>
    </row>
    <row r="60" spans="1:102" x14ac:dyDescent="0.2">
      <c r="A60" s="3" t="s">
        <v>181</v>
      </c>
      <c r="B60" s="2">
        <f>MAX(B47:B58)</f>
        <v>82.186666666666667</v>
      </c>
      <c r="C60" s="2">
        <f t="shared" ref="C60:BN60" si="35">MAX(C47:C58)</f>
        <v>80.69</v>
      </c>
      <c r="D60" s="2">
        <f t="shared" si="35"/>
        <v>77.183333333333337</v>
      </c>
      <c r="E60" s="2">
        <f t="shared" si="35"/>
        <v>79.2</v>
      </c>
      <c r="F60" s="2">
        <f t="shared" si="35"/>
        <v>81.303333333333342</v>
      </c>
      <c r="G60" s="2">
        <f t="shared" si="35"/>
        <v>81.040000000000006</v>
      </c>
      <c r="H60" s="2">
        <f t="shared" si="35"/>
        <v>81.596666666666664</v>
      </c>
      <c r="I60" s="2">
        <f t="shared" si="35"/>
        <v>81.046666666666667</v>
      </c>
      <c r="J60" s="2">
        <f t="shared" si="35"/>
        <v>83.35</v>
      </c>
      <c r="K60" s="2">
        <f t="shared" si="35"/>
        <v>81.213333333333324</v>
      </c>
      <c r="L60" s="2">
        <f t="shared" si="35"/>
        <v>79.463333333333324</v>
      </c>
      <c r="M60" s="2">
        <f t="shared" si="35"/>
        <v>80.839999999999989</v>
      </c>
      <c r="N60" s="2">
        <f t="shared" si="35"/>
        <v>81.193333333333342</v>
      </c>
      <c r="O60" s="2">
        <f t="shared" si="35"/>
        <v>80.83</v>
      </c>
      <c r="P60" s="2">
        <f t="shared" si="35"/>
        <v>81.853333333333339</v>
      </c>
      <c r="Q60" s="2">
        <f t="shared" si="35"/>
        <v>82.92</v>
      </c>
      <c r="R60" s="2">
        <f t="shared" si="35"/>
        <v>82.36666666666666</v>
      </c>
      <c r="S60" s="2">
        <f t="shared" si="35"/>
        <v>81.306666666666672</v>
      </c>
      <c r="T60" s="2">
        <f t="shared" si="35"/>
        <v>78.173333333333332</v>
      </c>
      <c r="U60" s="2">
        <f t="shared" si="35"/>
        <v>82.293333333333337</v>
      </c>
      <c r="V60" s="2">
        <f t="shared" si="35"/>
        <v>80.976666666666674</v>
      </c>
      <c r="W60" s="2">
        <f t="shared" si="35"/>
        <v>78.343333333333348</v>
      </c>
      <c r="X60" s="2">
        <f t="shared" si="35"/>
        <v>80.596666666666678</v>
      </c>
      <c r="Y60" s="2">
        <f t="shared" si="35"/>
        <v>81.283333333333346</v>
      </c>
      <c r="Z60" s="2">
        <f t="shared" si="35"/>
        <v>78.56</v>
      </c>
      <c r="AA60" s="2">
        <f t="shared" si="35"/>
        <v>81.86333333333333</v>
      </c>
      <c r="AB60" s="2">
        <f t="shared" si="35"/>
        <v>79.903333333333322</v>
      </c>
      <c r="AC60" s="2">
        <f t="shared" si="35"/>
        <v>80.83</v>
      </c>
      <c r="AD60" s="2">
        <f t="shared" si="35"/>
        <v>82.243333333333325</v>
      </c>
      <c r="AE60" s="2">
        <f t="shared" si="35"/>
        <v>77.723333333333343</v>
      </c>
      <c r="AF60" s="2">
        <f t="shared" si="35"/>
        <v>82.39</v>
      </c>
      <c r="AG60" s="2">
        <f t="shared" si="35"/>
        <v>83.00333333333333</v>
      </c>
      <c r="AH60" s="2">
        <f t="shared" si="35"/>
        <v>83.17</v>
      </c>
      <c r="AI60" s="2">
        <f t="shared" si="35"/>
        <v>81.349999999999994</v>
      </c>
      <c r="AJ60" s="2">
        <f t="shared" si="35"/>
        <v>80.733333333333334</v>
      </c>
      <c r="AK60" s="2">
        <f t="shared" si="35"/>
        <v>81.526666666666657</v>
      </c>
      <c r="AL60" s="2">
        <f t="shared" si="35"/>
        <v>82.146666666666661</v>
      </c>
      <c r="AM60" s="2">
        <f t="shared" si="35"/>
        <v>79.010000000000005</v>
      </c>
      <c r="AN60" s="2">
        <f t="shared" si="35"/>
        <v>82.49</v>
      </c>
      <c r="AO60" s="2">
        <f t="shared" si="35"/>
        <v>81.703333333333333</v>
      </c>
      <c r="AP60" s="2">
        <f t="shared" si="35"/>
        <v>81.346666666666678</v>
      </c>
      <c r="AQ60" s="2">
        <f t="shared" si="35"/>
        <v>78.853333333333339</v>
      </c>
      <c r="AR60" s="2">
        <f t="shared" si="35"/>
        <v>80.816666666666663</v>
      </c>
      <c r="AS60" s="2">
        <f t="shared" si="35"/>
        <v>81.833333333333329</v>
      </c>
      <c r="AT60" s="2">
        <f t="shared" si="35"/>
        <v>77.739999999999995</v>
      </c>
      <c r="AU60" s="2">
        <f t="shared" si="35"/>
        <v>80.06</v>
      </c>
      <c r="AV60" s="2">
        <f t="shared" si="35"/>
        <v>81.473333333333329</v>
      </c>
      <c r="AW60" s="2">
        <f t="shared" si="35"/>
        <v>80.536666666666676</v>
      </c>
      <c r="AX60" s="2">
        <f t="shared" si="35"/>
        <v>81.929999999999993</v>
      </c>
      <c r="AY60" s="2">
        <f t="shared" si="35"/>
        <v>82.15666666666668</v>
      </c>
      <c r="AZ60" s="2">
        <f t="shared" si="35"/>
        <v>82.15333333333335</v>
      </c>
      <c r="BA60" s="2">
        <f t="shared" si="35"/>
        <v>79.459999999999994</v>
      </c>
      <c r="BB60" s="2">
        <f t="shared" si="35"/>
        <v>78.416666666666671</v>
      </c>
      <c r="BC60" s="2">
        <f t="shared" si="35"/>
        <v>82.543333333333337</v>
      </c>
      <c r="BD60" s="2">
        <f t="shared" si="35"/>
        <v>78.836666666666659</v>
      </c>
      <c r="BE60" s="2">
        <f t="shared" si="35"/>
        <v>78.686666666666667</v>
      </c>
      <c r="BF60" s="2">
        <f t="shared" si="35"/>
        <v>82.15</v>
      </c>
      <c r="BG60" s="2">
        <f t="shared" si="35"/>
        <v>81.806666666666658</v>
      </c>
      <c r="BH60" s="2">
        <f t="shared" si="35"/>
        <v>81.436666666666667</v>
      </c>
      <c r="BI60" s="2">
        <f t="shared" si="35"/>
        <v>80.633333333333326</v>
      </c>
      <c r="BJ60" s="2">
        <f t="shared" si="35"/>
        <v>82.009999999999991</v>
      </c>
      <c r="BK60" s="2">
        <f t="shared" si="35"/>
        <v>79.593333333333334</v>
      </c>
      <c r="BL60" s="2">
        <f t="shared" si="35"/>
        <v>79.506666666666661</v>
      </c>
      <c r="BM60" s="2">
        <f t="shared" si="35"/>
        <v>82.190000000000012</v>
      </c>
      <c r="BN60" s="2">
        <f t="shared" si="35"/>
        <v>81.436666666666667</v>
      </c>
      <c r="BO60" s="2">
        <f t="shared" ref="BO60:CW60" si="36">MAX(BO47:BO58)</f>
        <v>82.469999999999985</v>
      </c>
      <c r="BP60" s="2">
        <f t="shared" si="36"/>
        <v>85.660000000000011</v>
      </c>
      <c r="BQ60" s="2">
        <f t="shared" si="36"/>
        <v>79.626666666666665</v>
      </c>
      <c r="BR60" s="2">
        <f t="shared" si="36"/>
        <v>79.910000000000011</v>
      </c>
      <c r="BS60" s="2">
        <f t="shared" si="36"/>
        <v>80.260000000000005</v>
      </c>
      <c r="BT60" s="2">
        <f t="shared" si="36"/>
        <v>82.616666666666674</v>
      </c>
      <c r="BU60" s="2">
        <f t="shared" si="36"/>
        <v>83.326666666666654</v>
      </c>
      <c r="BV60" s="2">
        <f t="shared" si="36"/>
        <v>78.28</v>
      </c>
      <c r="BW60" s="2">
        <f t="shared" si="36"/>
        <v>77.64</v>
      </c>
      <c r="BX60" s="2">
        <f t="shared" si="36"/>
        <v>79.326666666666668</v>
      </c>
      <c r="BY60" s="2">
        <f t="shared" si="36"/>
        <v>80.48</v>
      </c>
      <c r="BZ60" s="2">
        <f t="shared" si="36"/>
        <v>80.943333333333342</v>
      </c>
      <c r="CA60" s="2">
        <f t="shared" si="36"/>
        <v>81.030000000000015</v>
      </c>
      <c r="CB60" s="2">
        <f t="shared" si="36"/>
        <v>80.576666666666668</v>
      </c>
      <c r="CC60" s="2">
        <f t="shared" si="36"/>
        <v>81.540000000000006</v>
      </c>
      <c r="CD60" s="2">
        <f t="shared" si="36"/>
        <v>78.606666666666669</v>
      </c>
      <c r="CE60" s="2">
        <f t="shared" si="36"/>
        <v>80.476666666666674</v>
      </c>
      <c r="CF60" s="2">
        <f t="shared" si="36"/>
        <v>80.776666666666657</v>
      </c>
      <c r="CG60" s="2">
        <f t="shared" si="36"/>
        <v>79.833333333333329</v>
      </c>
      <c r="CH60" s="2">
        <f t="shared" si="36"/>
        <v>80.88666666666667</v>
      </c>
      <c r="CI60" s="2">
        <f t="shared" si="36"/>
        <v>81.589999999999989</v>
      </c>
      <c r="CJ60" s="2">
        <f t="shared" si="36"/>
        <v>79.983333333333334</v>
      </c>
      <c r="CK60" s="2">
        <f t="shared" si="36"/>
        <v>82.303333333333327</v>
      </c>
      <c r="CL60" s="2">
        <f t="shared" si="36"/>
        <v>80.743333333333339</v>
      </c>
      <c r="CM60" s="2">
        <f t="shared" si="36"/>
        <v>82.586666666666659</v>
      </c>
      <c r="CN60" s="2">
        <f t="shared" si="36"/>
        <v>81.486666666666665</v>
      </c>
      <c r="CO60" s="2">
        <f t="shared" si="36"/>
        <v>81.96</v>
      </c>
      <c r="CP60" s="2">
        <f t="shared" si="36"/>
        <v>81.13666666666667</v>
      </c>
      <c r="CQ60" s="2">
        <f t="shared" si="36"/>
        <v>80.23</v>
      </c>
      <c r="CR60" s="2">
        <f t="shared" si="36"/>
        <v>80.283333333333346</v>
      </c>
      <c r="CS60" s="2">
        <f t="shared" si="36"/>
        <v>82.14</v>
      </c>
      <c r="CT60" s="2">
        <f t="shared" si="36"/>
        <v>80.83</v>
      </c>
      <c r="CU60" s="2">
        <f t="shared" si="36"/>
        <v>83.970000000000013</v>
      </c>
      <c r="CV60" s="2">
        <f t="shared" si="36"/>
        <v>82.783333333333346</v>
      </c>
      <c r="CW60" s="2">
        <f t="shared" si="36"/>
        <v>80.55</v>
      </c>
      <c r="CX60" s="2">
        <f t="shared" ref="CX60" si="37">MAX(CX47:CX58)</f>
        <v>77.524000000000001</v>
      </c>
    </row>
    <row r="61" spans="1:102" x14ac:dyDescent="0.2">
      <c r="A61" s="3" t="s">
        <v>182</v>
      </c>
      <c r="B61" s="2">
        <f>MIN(B47:B58)</f>
        <v>73.173333333333332</v>
      </c>
      <c r="C61" s="2">
        <f t="shared" ref="C61:BN61" si="38">MIN(C47:C58)</f>
        <v>73.839999999999989</v>
      </c>
      <c r="D61" s="2">
        <f t="shared" si="38"/>
        <v>72.81</v>
      </c>
      <c r="E61" s="2">
        <f t="shared" si="38"/>
        <v>73.853333333333339</v>
      </c>
      <c r="F61" s="2">
        <f t="shared" si="38"/>
        <v>72.813333333333333</v>
      </c>
      <c r="G61" s="2">
        <f t="shared" si="38"/>
        <v>72.066666666666663</v>
      </c>
      <c r="H61" s="2">
        <f t="shared" si="38"/>
        <v>75.303333333333327</v>
      </c>
      <c r="I61" s="2">
        <f t="shared" si="38"/>
        <v>72.473333333333343</v>
      </c>
      <c r="J61" s="2">
        <f t="shared" si="38"/>
        <v>71.506666666666661</v>
      </c>
      <c r="K61" s="2">
        <f t="shared" si="38"/>
        <v>73.003333333333345</v>
      </c>
      <c r="L61" s="2">
        <f t="shared" si="38"/>
        <v>71.566666666666663</v>
      </c>
      <c r="M61" s="2">
        <f t="shared" si="38"/>
        <v>72.850000000000009</v>
      </c>
      <c r="N61" s="2">
        <f t="shared" si="38"/>
        <v>73.86333333333333</v>
      </c>
      <c r="O61" s="2">
        <f t="shared" si="38"/>
        <v>73.989999999999995</v>
      </c>
      <c r="P61" s="2">
        <f t="shared" si="38"/>
        <v>72.773333333333326</v>
      </c>
      <c r="Q61" s="2">
        <f t="shared" si="38"/>
        <v>71.153333333333336</v>
      </c>
      <c r="R61" s="2">
        <f t="shared" si="38"/>
        <v>71.27</v>
      </c>
      <c r="S61" s="2">
        <f t="shared" si="38"/>
        <v>74.823333333333338</v>
      </c>
      <c r="T61" s="2">
        <f t="shared" si="38"/>
        <v>72.116666666666674</v>
      </c>
      <c r="U61" s="2">
        <f t="shared" si="38"/>
        <v>72.42</v>
      </c>
      <c r="V61" s="2">
        <f t="shared" si="38"/>
        <v>71.930000000000007</v>
      </c>
      <c r="W61" s="2">
        <f t="shared" si="38"/>
        <v>68.149999999999991</v>
      </c>
      <c r="X61" s="2">
        <f t="shared" si="38"/>
        <v>72.426666666666662</v>
      </c>
      <c r="Y61" s="2">
        <f t="shared" si="38"/>
        <v>72.513333333333335</v>
      </c>
      <c r="Z61" s="2">
        <f t="shared" si="38"/>
        <v>73.67</v>
      </c>
      <c r="AA61" s="2">
        <f t="shared" si="38"/>
        <v>72.34666666666665</v>
      </c>
      <c r="AB61" s="2">
        <f t="shared" si="38"/>
        <v>73.766666666666666</v>
      </c>
      <c r="AC61" s="2">
        <f t="shared" si="38"/>
        <v>73.986666666666679</v>
      </c>
      <c r="AD61" s="2">
        <f t="shared" si="38"/>
        <v>68.956666666666663</v>
      </c>
      <c r="AE61" s="2">
        <f t="shared" si="38"/>
        <v>72.373333333333335</v>
      </c>
      <c r="AF61" s="2">
        <f t="shared" si="38"/>
        <v>74.836666666666659</v>
      </c>
      <c r="AG61" s="2">
        <f t="shared" si="38"/>
        <v>72.723333333333315</v>
      </c>
      <c r="AH61" s="2">
        <f t="shared" si="38"/>
        <v>74.383333333333326</v>
      </c>
      <c r="AI61" s="2">
        <f t="shared" si="38"/>
        <v>73.226666666666674</v>
      </c>
      <c r="AJ61" s="2">
        <f t="shared" si="38"/>
        <v>71.443333333333328</v>
      </c>
      <c r="AK61" s="2">
        <f t="shared" si="38"/>
        <v>70.126666666666665</v>
      </c>
      <c r="AL61" s="2">
        <f t="shared" si="38"/>
        <v>74.566666666666663</v>
      </c>
      <c r="AM61" s="2">
        <f t="shared" si="38"/>
        <v>73.803333333333327</v>
      </c>
      <c r="AN61" s="2">
        <f t="shared" si="38"/>
        <v>71.73</v>
      </c>
      <c r="AO61" s="2">
        <f t="shared" si="38"/>
        <v>70.233333333333334</v>
      </c>
      <c r="AP61" s="2">
        <f t="shared" si="38"/>
        <v>71.33</v>
      </c>
      <c r="AQ61" s="2">
        <f t="shared" si="38"/>
        <v>73.043333333333337</v>
      </c>
      <c r="AR61" s="2">
        <f t="shared" si="38"/>
        <v>69.926666666666662</v>
      </c>
      <c r="AS61" s="2">
        <f t="shared" si="38"/>
        <v>73.89</v>
      </c>
      <c r="AT61" s="2">
        <f t="shared" si="38"/>
        <v>73.596666666666678</v>
      </c>
      <c r="AU61" s="2">
        <f t="shared" si="38"/>
        <v>73.516666666666666</v>
      </c>
      <c r="AV61" s="2">
        <f t="shared" si="38"/>
        <v>71.779999999999987</v>
      </c>
      <c r="AW61" s="2">
        <f t="shared" si="38"/>
        <v>74.790000000000006</v>
      </c>
      <c r="AX61" s="2">
        <f t="shared" si="38"/>
        <v>73.006666666666675</v>
      </c>
      <c r="AY61" s="2">
        <f t="shared" si="38"/>
        <v>71.27</v>
      </c>
      <c r="AZ61" s="2">
        <f t="shared" si="38"/>
        <v>73.413333333333327</v>
      </c>
      <c r="BA61" s="2">
        <f t="shared" si="38"/>
        <v>71.886666666666656</v>
      </c>
      <c r="BB61" s="2">
        <f t="shared" si="38"/>
        <v>71.613333333333344</v>
      </c>
      <c r="BC61" s="2">
        <f t="shared" si="38"/>
        <v>73.39</v>
      </c>
      <c r="BD61" s="2">
        <f t="shared" si="38"/>
        <v>70.05</v>
      </c>
      <c r="BE61" s="2">
        <f t="shared" si="38"/>
        <v>69.569999999999993</v>
      </c>
      <c r="BF61" s="2">
        <f t="shared" si="38"/>
        <v>73.526666666666657</v>
      </c>
      <c r="BG61" s="2">
        <f t="shared" si="38"/>
        <v>73.83</v>
      </c>
      <c r="BH61" s="2">
        <f t="shared" si="38"/>
        <v>74.25</v>
      </c>
      <c r="BI61" s="2">
        <f t="shared" si="38"/>
        <v>73.06</v>
      </c>
      <c r="BJ61" s="2">
        <f t="shared" si="38"/>
        <v>75.98</v>
      </c>
      <c r="BK61" s="2">
        <f t="shared" si="38"/>
        <v>72.459999999999994</v>
      </c>
      <c r="BL61" s="2">
        <f t="shared" si="38"/>
        <v>72.766666666666666</v>
      </c>
      <c r="BM61" s="2">
        <f t="shared" si="38"/>
        <v>72.986666666666665</v>
      </c>
      <c r="BN61" s="2">
        <f t="shared" si="38"/>
        <v>72.793333333333337</v>
      </c>
      <c r="BO61" s="2">
        <f t="shared" ref="BO61:CW61" si="39">MIN(BO47:BO58)</f>
        <v>71.606666666666669</v>
      </c>
      <c r="BP61" s="2">
        <f t="shared" si="39"/>
        <v>74.033333333333346</v>
      </c>
      <c r="BQ61" s="2">
        <f t="shared" si="39"/>
        <v>73.77</v>
      </c>
      <c r="BR61" s="2">
        <f t="shared" si="39"/>
        <v>72.963333333333338</v>
      </c>
      <c r="BS61" s="2">
        <f t="shared" si="39"/>
        <v>73.536666666666676</v>
      </c>
      <c r="BT61" s="2">
        <f t="shared" si="39"/>
        <v>72.5</v>
      </c>
      <c r="BU61" s="2">
        <f t="shared" si="39"/>
        <v>76.45</v>
      </c>
      <c r="BV61" s="2">
        <f t="shared" si="39"/>
        <v>71.64</v>
      </c>
      <c r="BW61" s="2">
        <f t="shared" si="39"/>
        <v>71.966666666666669</v>
      </c>
      <c r="BX61" s="2">
        <f t="shared" si="39"/>
        <v>73.040000000000006</v>
      </c>
      <c r="BY61" s="2">
        <f t="shared" si="39"/>
        <v>74.100000000000009</v>
      </c>
      <c r="BZ61" s="2">
        <f t="shared" si="39"/>
        <v>69.963333333333338</v>
      </c>
      <c r="CA61" s="2">
        <f t="shared" si="39"/>
        <v>72.706666666666663</v>
      </c>
      <c r="CB61" s="2">
        <f t="shared" si="39"/>
        <v>68.146666666666661</v>
      </c>
      <c r="CC61" s="2">
        <f t="shared" si="39"/>
        <v>74.623333333333335</v>
      </c>
      <c r="CD61" s="2">
        <f t="shared" si="39"/>
        <v>73.52</v>
      </c>
      <c r="CE61" s="2">
        <f t="shared" si="39"/>
        <v>72.283333333333346</v>
      </c>
      <c r="CF61" s="2">
        <f t="shared" si="39"/>
        <v>68.386666666666656</v>
      </c>
      <c r="CG61" s="2">
        <f t="shared" si="39"/>
        <v>74.596666666666664</v>
      </c>
      <c r="CH61" s="2">
        <f t="shared" si="39"/>
        <v>72.680000000000007</v>
      </c>
      <c r="CI61" s="2">
        <f t="shared" si="39"/>
        <v>73.963333333333324</v>
      </c>
      <c r="CJ61" s="2">
        <f t="shared" si="39"/>
        <v>75.616666666666674</v>
      </c>
      <c r="CK61" s="2">
        <f t="shared" si="39"/>
        <v>71.213333333333324</v>
      </c>
      <c r="CL61" s="2">
        <f t="shared" si="39"/>
        <v>72.316666666666677</v>
      </c>
      <c r="CM61" s="2">
        <f t="shared" si="39"/>
        <v>70.303333333333327</v>
      </c>
      <c r="CN61" s="2">
        <f t="shared" si="39"/>
        <v>76.289999999999992</v>
      </c>
      <c r="CO61" s="2">
        <f t="shared" si="39"/>
        <v>72.066666666666677</v>
      </c>
      <c r="CP61" s="2">
        <f t="shared" si="39"/>
        <v>73.893333333333331</v>
      </c>
      <c r="CQ61" s="2">
        <f t="shared" si="39"/>
        <v>73.046666666666667</v>
      </c>
      <c r="CR61" s="2">
        <f t="shared" si="39"/>
        <v>73.113333333333344</v>
      </c>
      <c r="CS61" s="2">
        <f t="shared" si="39"/>
        <v>73.896666666666661</v>
      </c>
      <c r="CT61" s="2">
        <f t="shared" si="39"/>
        <v>72.566666666666663</v>
      </c>
      <c r="CU61" s="2">
        <f t="shared" si="39"/>
        <v>73.42</v>
      </c>
      <c r="CV61" s="2">
        <f t="shared" si="39"/>
        <v>71.733333333333334</v>
      </c>
      <c r="CW61" s="2">
        <f t="shared" si="39"/>
        <v>71.456666666666663</v>
      </c>
      <c r="CX61" s="2">
        <f t="shared" ref="CX61" si="40">MIN(CX47:CX58)</f>
        <v>76.603133333333375</v>
      </c>
    </row>
    <row r="62" spans="1:102" x14ac:dyDescent="0.2">
      <c r="A62" s="3" t="s">
        <v>186</v>
      </c>
      <c r="B62" s="2">
        <f>B60-B61</f>
        <v>9.0133333333333354</v>
      </c>
      <c r="C62" s="2">
        <f t="shared" ref="C62:BN62" si="41">C60-C61</f>
        <v>6.8500000000000085</v>
      </c>
      <c r="D62" s="2">
        <f t="shared" si="41"/>
        <v>4.3733333333333348</v>
      </c>
      <c r="E62" s="2">
        <f t="shared" si="41"/>
        <v>5.346666666666664</v>
      </c>
      <c r="F62" s="2">
        <f t="shared" si="41"/>
        <v>8.4900000000000091</v>
      </c>
      <c r="G62" s="2">
        <f t="shared" si="41"/>
        <v>8.9733333333333434</v>
      </c>
      <c r="H62" s="2">
        <f t="shared" si="41"/>
        <v>6.2933333333333366</v>
      </c>
      <c r="I62" s="2">
        <f t="shared" si="41"/>
        <v>8.5733333333333235</v>
      </c>
      <c r="J62" s="2">
        <f t="shared" si="41"/>
        <v>11.843333333333334</v>
      </c>
      <c r="K62" s="2">
        <f t="shared" si="41"/>
        <v>8.2099999999999795</v>
      </c>
      <c r="L62" s="2">
        <f t="shared" si="41"/>
        <v>7.8966666666666612</v>
      </c>
      <c r="M62" s="2">
        <f t="shared" si="41"/>
        <v>7.9899999999999807</v>
      </c>
      <c r="N62" s="2">
        <f t="shared" si="41"/>
        <v>7.3300000000000125</v>
      </c>
      <c r="O62" s="2">
        <f t="shared" si="41"/>
        <v>6.8400000000000034</v>
      </c>
      <c r="P62" s="2">
        <f t="shared" si="41"/>
        <v>9.0800000000000125</v>
      </c>
      <c r="Q62" s="2">
        <f t="shared" si="41"/>
        <v>11.766666666666666</v>
      </c>
      <c r="R62" s="2">
        <f t="shared" si="41"/>
        <v>11.096666666666664</v>
      </c>
      <c r="S62" s="2">
        <f t="shared" si="41"/>
        <v>6.4833333333333343</v>
      </c>
      <c r="T62" s="2">
        <f t="shared" si="41"/>
        <v>6.0566666666666578</v>
      </c>
      <c r="U62" s="2">
        <f t="shared" si="41"/>
        <v>9.8733333333333348</v>
      </c>
      <c r="V62" s="2">
        <f t="shared" si="41"/>
        <v>9.0466666666666669</v>
      </c>
      <c r="W62" s="2">
        <f t="shared" si="41"/>
        <v>10.193333333333356</v>
      </c>
      <c r="X62" s="2">
        <f t="shared" si="41"/>
        <v>8.1700000000000159</v>
      </c>
      <c r="Y62" s="2">
        <f t="shared" si="41"/>
        <v>8.7700000000000102</v>
      </c>
      <c r="Z62" s="2">
        <f t="shared" si="41"/>
        <v>4.8900000000000006</v>
      </c>
      <c r="AA62" s="2">
        <f t="shared" si="41"/>
        <v>9.5166666666666799</v>
      </c>
      <c r="AB62" s="2">
        <f t="shared" si="41"/>
        <v>6.1366666666666561</v>
      </c>
      <c r="AC62" s="2">
        <f t="shared" si="41"/>
        <v>6.8433333333333195</v>
      </c>
      <c r="AD62" s="2">
        <f t="shared" si="41"/>
        <v>13.286666666666662</v>
      </c>
      <c r="AE62" s="2">
        <f t="shared" si="41"/>
        <v>5.3500000000000085</v>
      </c>
      <c r="AF62" s="2">
        <f t="shared" si="41"/>
        <v>7.5533333333333417</v>
      </c>
      <c r="AG62" s="2">
        <f t="shared" si="41"/>
        <v>10.280000000000015</v>
      </c>
      <c r="AH62" s="2">
        <f t="shared" si="41"/>
        <v>8.786666666666676</v>
      </c>
      <c r="AI62" s="2">
        <f t="shared" si="41"/>
        <v>8.1233333333333206</v>
      </c>
      <c r="AJ62" s="2">
        <f t="shared" si="41"/>
        <v>9.2900000000000063</v>
      </c>
      <c r="AK62" s="2">
        <f t="shared" si="41"/>
        <v>11.399999999999991</v>
      </c>
      <c r="AL62" s="2">
        <f t="shared" si="41"/>
        <v>7.5799999999999983</v>
      </c>
      <c r="AM62" s="2">
        <f t="shared" si="41"/>
        <v>5.2066666666666777</v>
      </c>
      <c r="AN62" s="2">
        <f t="shared" si="41"/>
        <v>10.759999999999991</v>
      </c>
      <c r="AO62" s="2">
        <f t="shared" si="41"/>
        <v>11.469999999999999</v>
      </c>
      <c r="AP62" s="2">
        <f t="shared" si="41"/>
        <v>10.01666666666668</v>
      </c>
      <c r="AQ62" s="2">
        <f t="shared" si="41"/>
        <v>5.8100000000000023</v>
      </c>
      <c r="AR62" s="2">
        <f t="shared" si="41"/>
        <v>10.89</v>
      </c>
      <c r="AS62" s="2">
        <f t="shared" si="41"/>
        <v>7.943333333333328</v>
      </c>
      <c r="AT62" s="2">
        <f t="shared" si="41"/>
        <v>4.1433333333333167</v>
      </c>
      <c r="AU62" s="2">
        <f t="shared" si="41"/>
        <v>6.5433333333333366</v>
      </c>
      <c r="AV62" s="2">
        <f t="shared" si="41"/>
        <v>9.6933333333333422</v>
      </c>
      <c r="AW62" s="2">
        <f t="shared" si="41"/>
        <v>5.7466666666666697</v>
      </c>
      <c r="AX62" s="2">
        <f t="shared" si="41"/>
        <v>8.9233333333333178</v>
      </c>
      <c r="AY62" s="2">
        <f t="shared" si="41"/>
        <v>10.886666666666684</v>
      </c>
      <c r="AZ62" s="2">
        <f t="shared" si="41"/>
        <v>8.7400000000000233</v>
      </c>
      <c r="BA62" s="2">
        <f t="shared" si="41"/>
        <v>7.5733333333333377</v>
      </c>
      <c r="BB62" s="2">
        <f t="shared" si="41"/>
        <v>6.8033333333333275</v>
      </c>
      <c r="BC62" s="2">
        <f t="shared" si="41"/>
        <v>9.153333333333336</v>
      </c>
      <c r="BD62" s="2">
        <f t="shared" si="41"/>
        <v>8.7866666666666617</v>
      </c>
      <c r="BE62" s="2">
        <f t="shared" si="41"/>
        <v>9.1166666666666742</v>
      </c>
      <c r="BF62" s="2">
        <f t="shared" si="41"/>
        <v>8.6233333333333491</v>
      </c>
      <c r="BG62" s="2">
        <f t="shared" si="41"/>
        <v>7.9766666666666595</v>
      </c>
      <c r="BH62" s="2">
        <f t="shared" si="41"/>
        <v>7.1866666666666674</v>
      </c>
      <c r="BI62" s="2">
        <f t="shared" si="41"/>
        <v>7.5733333333333235</v>
      </c>
      <c r="BJ62" s="2">
        <f t="shared" si="41"/>
        <v>6.0299999999999869</v>
      </c>
      <c r="BK62" s="2">
        <f t="shared" si="41"/>
        <v>7.13333333333334</v>
      </c>
      <c r="BL62" s="2">
        <f t="shared" si="41"/>
        <v>6.7399999999999949</v>
      </c>
      <c r="BM62" s="2">
        <f t="shared" si="41"/>
        <v>9.2033333333333474</v>
      </c>
      <c r="BN62" s="2">
        <f t="shared" si="41"/>
        <v>8.6433333333333309</v>
      </c>
      <c r="BO62" s="2">
        <f t="shared" ref="BO62:CX62" si="42">BO60-BO61</f>
        <v>10.863333333333316</v>
      </c>
      <c r="BP62" s="2">
        <f t="shared" si="42"/>
        <v>11.626666666666665</v>
      </c>
      <c r="BQ62" s="2">
        <f t="shared" si="42"/>
        <v>5.8566666666666691</v>
      </c>
      <c r="BR62" s="2">
        <f t="shared" si="42"/>
        <v>6.9466666666666725</v>
      </c>
      <c r="BS62" s="2">
        <f t="shared" si="42"/>
        <v>6.7233333333333292</v>
      </c>
      <c r="BT62" s="2">
        <f t="shared" si="42"/>
        <v>10.116666666666674</v>
      </c>
      <c r="BU62" s="2">
        <f t="shared" si="42"/>
        <v>6.8766666666666509</v>
      </c>
      <c r="BV62" s="2">
        <f t="shared" si="42"/>
        <v>6.6400000000000006</v>
      </c>
      <c r="BW62" s="2">
        <f t="shared" si="42"/>
        <v>5.673333333333332</v>
      </c>
      <c r="BX62" s="2">
        <f t="shared" si="42"/>
        <v>6.2866666666666617</v>
      </c>
      <c r="BY62" s="2">
        <f t="shared" si="42"/>
        <v>6.3799999999999955</v>
      </c>
      <c r="BZ62" s="2">
        <f t="shared" si="42"/>
        <v>10.980000000000004</v>
      </c>
      <c r="CA62" s="2">
        <f t="shared" si="42"/>
        <v>8.3233333333333519</v>
      </c>
      <c r="CB62" s="2">
        <f t="shared" si="42"/>
        <v>12.430000000000007</v>
      </c>
      <c r="CC62" s="2">
        <f t="shared" si="42"/>
        <v>6.9166666666666714</v>
      </c>
      <c r="CD62" s="2">
        <f t="shared" si="42"/>
        <v>5.0866666666666731</v>
      </c>
      <c r="CE62" s="2">
        <f t="shared" si="42"/>
        <v>8.193333333333328</v>
      </c>
      <c r="CF62" s="2">
        <f t="shared" si="42"/>
        <v>12.39</v>
      </c>
      <c r="CG62" s="2">
        <f t="shared" si="42"/>
        <v>5.2366666666666646</v>
      </c>
      <c r="CH62" s="2">
        <f t="shared" si="42"/>
        <v>8.2066666666666634</v>
      </c>
      <c r="CI62" s="2">
        <f t="shared" si="42"/>
        <v>7.6266666666666652</v>
      </c>
      <c r="CJ62" s="2">
        <f t="shared" si="42"/>
        <v>4.36666666666666</v>
      </c>
      <c r="CK62" s="2">
        <f t="shared" si="42"/>
        <v>11.090000000000003</v>
      </c>
      <c r="CL62" s="2">
        <f t="shared" si="42"/>
        <v>8.4266666666666623</v>
      </c>
      <c r="CM62" s="2">
        <f t="shared" si="42"/>
        <v>12.283333333333331</v>
      </c>
      <c r="CN62" s="2">
        <f t="shared" si="42"/>
        <v>5.1966666666666725</v>
      </c>
      <c r="CO62" s="2">
        <f t="shared" si="42"/>
        <v>9.8933333333333167</v>
      </c>
      <c r="CP62" s="2">
        <f t="shared" si="42"/>
        <v>7.2433333333333394</v>
      </c>
      <c r="CQ62" s="2">
        <f t="shared" si="42"/>
        <v>7.1833333333333371</v>
      </c>
      <c r="CR62" s="2">
        <f t="shared" si="42"/>
        <v>7.1700000000000017</v>
      </c>
      <c r="CS62" s="2">
        <f t="shared" si="42"/>
        <v>8.2433333333333394</v>
      </c>
      <c r="CT62" s="2">
        <f t="shared" si="42"/>
        <v>8.2633333333333354</v>
      </c>
      <c r="CU62" s="2">
        <f t="shared" si="42"/>
        <v>10.550000000000011</v>
      </c>
      <c r="CV62" s="2">
        <f t="shared" si="42"/>
        <v>11.050000000000011</v>
      </c>
      <c r="CW62" s="2">
        <f t="shared" si="42"/>
        <v>9.0933333333333337</v>
      </c>
      <c r="CX62" s="2">
        <f t="shared" si="42"/>
        <v>0.92086666666662609</v>
      </c>
    </row>
    <row r="63" spans="1:102" x14ac:dyDescent="0.2">
      <c r="CX63" s="2"/>
    </row>
    <row r="64" spans="1:102" x14ac:dyDescent="0.2">
      <c r="A64" s="3" t="s">
        <v>5</v>
      </c>
      <c r="CX64" s="2"/>
    </row>
    <row r="65" spans="1:102" x14ac:dyDescent="0.2">
      <c r="A65" s="3" t="s">
        <v>58</v>
      </c>
      <c r="B65" s="4">
        <f>B47</f>
        <v>77.343333333333334</v>
      </c>
      <c r="C65" s="4">
        <f t="shared" ref="C65:BN65" si="43">C47</f>
        <v>74.56</v>
      </c>
      <c r="D65" s="4">
        <f t="shared" si="43"/>
        <v>74.843333333333348</v>
      </c>
      <c r="E65" s="4">
        <f t="shared" si="43"/>
        <v>76.029999999999987</v>
      </c>
      <c r="F65" s="4">
        <f t="shared" si="43"/>
        <v>80.583333333333329</v>
      </c>
      <c r="G65" s="4">
        <f t="shared" si="43"/>
        <v>75.923333333333332</v>
      </c>
      <c r="H65" s="4">
        <f t="shared" si="43"/>
        <v>78.556666666666658</v>
      </c>
      <c r="I65" s="4">
        <f t="shared" si="43"/>
        <v>72.473333333333343</v>
      </c>
      <c r="J65" s="4">
        <f t="shared" si="43"/>
        <v>80.666666666666671</v>
      </c>
      <c r="K65" s="4">
        <f t="shared" si="43"/>
        <v>77.06</v>
      </c>
      <c r="L65" s="4">
        <f t="shared" si="43"/>
        <v>79.463333333333324</v>
      </c>
      <c r="M65" s="4">
        <f t="shared" si="43"/>
        <v>76.063333333333333</v>
      </c>
      <c r="N65" s="4">
        <f t="shared" si="43"/>
        <v>80.076666666666668</v>
      </c>
      <c r="O65" s="4">
        <f t="shared" si="43"/>
        <v>75.263333333333335</v>
      </c>
      <c r="P65" s="4">
        <f t="shared" si="43"/>
        <v>75.90666666666668</v>
      </c>
      <c r="Q65" s="4">
        <f t="shared" si="43"/>
        <v>76.199999999999989</v>
      </c>
      <c r="R65" s="4">
        <f t="shared" si="43"/>
        <v>77.489999999999995</v>
      </c>
      <c r="S65" s="4">
        <f t="shared" si="43"/>
        <v>74.823333333333338</v>
      </c>
      <c r="T65" s="4">
        <f t="shared" si="43"/>
        <v>76.523333333333326</v>
      </c>
      <c r="U65" s="4">
        <f t="shared" si="43"/>
        <v>78.963333333333324</v>
      </c>
      <c r="V65" s="4">
        <f t="shared" si="43"/>
        <v>80.976666666666674</v>
      </c>
      <c r="W65" s="4">
        <f t="shared" si="43"/>
        <v>73.736666666666665</v>
      </c>
      <c r="X65" s="4">
        <f t="shared" si="43"/>
        <v>78.03</v>
      </c>
      <c r="Y65" s="4">
        <f t="shared" si="43"/>
        <v>75.2</v>
      </c>
      <c r="Z65" s="4">
        <f t="shared" si="43"/>
        <v>76.039999999999992</v>
      </c>
      <c r="AA65" s="4">
        <f t="shared" si="43"/>
        <v>72.34666666666665</v>
      </c>
      <c r="AB65" s="4">
        <f t="shared" si="43"/>
        <v>79.186666666666667</v>
      </c>
      <c r="AC65" s="4">
        <f t="shared" si="43"/>
        <v>75.790000000000006</v>
      </c>
      <c r="AD65" s="4">
        <f t="shared" si="43"/>
        <v>81.430000000000007</v>
      </c>
      <c r="AE65" s="4">
        <f t="shared" si="43"/>
        <v>74.093333333333334</v>
      </c>
      <c r="AF65" s="4">
        <f t="shared" si="43"/>
        <v>76.08</v>
      </c>
      <c r="AG65" s="4">
        <f t="shared" si="43"/>
        <v>75.75</v>
      </c>
      <c r="AH65" s="4">
        <f t="shared" si="43"/>
        <v>78.36</v>
      </c>
      <c r="AI65" s="4">
        <f t="shared" si="43"/>
        <v>79.576666666666668</v>
      </c>
      <c r="AJ65" s="4">
        <f t="shared" si="43"/>
        <v>75.343333333333348</v>
      </c>
      <c r="AK65" s="4">
        <f t="shared" si="43"/>
        <v>78.983333333333334</v>
      </c>
      <c r="AL65" s="4">
        <f t="shared" si="43"/>
        <v>79.483333333333334</v>
      </c>
      <c r="AM65" s="4">
        <f t="shared" si="43"/>
        <v>79.010000000000005</v>
      </c>
      <c r="AN65" s="4">
        <f t="shared" si="43"/>
        <v>76.25</v>
      </c>
      <c r="AO65" s="4">
        <f t="shared" si="43"/>
        <v>74.476666666666659</v>
      </c>
      <c r="AP65" s="4">
        <f t="shared" si="43"/>
        <v>79.553333333333342</v>
      </c>
      <c r="AQ65" s="4">
        <f t="shared" si="43"/>
        <v>74.583333333333329</v>
      </c>
      <c r="AR65" s="4">
        <f t="shared" si="43"/>
        <v>75.893333333333331</v>
      </c>
      <c r="AS65" s="4">
        <f t="shared" si="43"/>
        <v>76.466666666666654</v>
      </c>
      <c r="AT65" s="4">
        <f t="shared" si="43"/>
        <v>75.61333333333333</v>
      </c>
      <c r="AU65" s="4">
        <f t="shared" si="43"/>
        <v>79.326666666666668</v>
      </c>
      <c r="AV65" s="4">
        <f t="shared" si="43"/>
        <v>72.77</v>
      </c>
      <c r="AW65" s="4">
        <f t="shared" si="43"/>
        <v>74.790000000000006</v>
      </c>
      <c r="AX65" s="4">
        <f t="shared" si="43"/>
        <v>74.48</v>
      </c>
      <c r="AY65" s="4">
        <f t="shared" si="43"/>
        <v>78.963333333333324</v>
      </c>
      <c r="AZ65" s="4">
        <f t="shared" si="43"/>
        <v>77.63</v>
      </c>
      <c r="BA65" s="4">
        <f t="shared" si="43"/>
        <v>76.459999999999994</v>
      </c>
      <c r="BB65" s="4">
        <f t="shared" si="43"/>
        <v>77.513333333333335</v>
      </c>
      <c r="BC65" s="4">
        <f t="shared" si="43"/>
        <v>82.543333333333337</v>
      </c>
      <c r="BD65" s="4">
        <f t="shared" si="43"/>
        <v>75.506666666666661</v>
      </c>
      <c r="BE65" s="4">
        <f t="shared" si="43"/>
        <v>76.353333333333339</v>
      </c>
      <c r="BF65" s="4">
        <f t="shared" si="43"/>
        <v>76.093333333333348</v>
      </c>
      <c r="BG65" s="4">
        <f t="shared" si="43"/>
        <v>80.916666666666671</v>
      </c>
      <c r="BH65" s="4">
        <f t="shared" si="43"/>
        <v>77.850000000000009</v>
      </c>
      <c r="BI65" s="4">
        <f t="shared" si="43"/>
        <v>76.75</v>
      </c>
      <c r="BJ65" s="4">
        <f t="shared" si="43"/>
        <v>81.453333333333333</v>
      </c>
      <c r="BK65" s="4">
        <f t="shared" si="43"/>
        <v>79.593333333333334</v>
      </c>
      <c r="BL65" s="4">
        <f t="shared" si="43"/>
        <v>79.506666666666661</v>
      </c>
      <c r="BM65" s="4">
        <f t="shared" si="43"/>
        <v>80.903333333333336</v>
      </c>
      <c r="BN65" s="4">
        <f t="shared" si="43"/>
        <v>79.056666666666672</v>
      </c>
      <c r="BO65" s="4">
        <f t="shared" ref="BO65:CW65" si="44">BO47</f>
        <v>75.77</v>
      </c>
      <c r="BP65" s="4">
        <f t="shared" si="44"/>
        <v>74.656666666666666</v>
      </c>
      <c r="BQ65" s="4">
        <f t="shared" si="44"/>
        <v>79.626666666666665</v>
      </c>
      <c r="BR65" s="4">
        <f t="shared" si="44"/>
        <v>78.41</v>
      </c>
      <c r="BS65" s="4">
        <f t="shared" si="44"/>
        <v>75.956666666666663</v>
      </c>
      <c r="BT65" s="4">
        <f t="shared" si="44"/>
        <v>78.459999999999994</v>
      </c>
      <c r="BU65" s="4">
        <f t="shared" si="44"/>
        <v>80.639999999999986</v>
      </c>
      <c r="BV65" s="4">
        <f t="shared" si="44"/>
        <v>77.033333333333331</v>
      </c>
      <c r="BW65" s="4">
        <f t="shared" si="44"/>
        <v>76.89</v>
      </c>
      <c r="BX65" s="4">
        <f t="shared" si="44"/>
        <v>79.106666666666669</v>
      </c>
      <c r="BY65" s="4">
        <f t="shared" si="44"/>
        <v>76.709999999999994</v>
      </c>
      <c r="BZ65" s="4">
        <f t="shared" si="44"/>
        <v>77.213333333333324</v>
      </c>
      <c r="CA65" s="4">
        <f t="shared" si="44"/>
        <v>78.033333333333346</v>
      </c>
      <c r="CB65" s="4">
        <f t="shared" si="44"/>
        <v>77.993333333333325</v>
      </c>
      <c r="CC65" s="4">
        <f t="shared" si="44"/>
        <v>78.056666666666658</v>
      </c>
      <c r="CD65" s="4">
        <f t="shared" si="44"/>
        <v>78.280000000000015</v>
      </c>
      <c r="CE65" s="4">
        <f t="shared" si="44"/>
        <v>74.12</v>
      </c>
      <c r="CF65" s="4">
        <f t="shared" si="44"/>
        <v>75.206666666666663</v>
      </c>
      <c r="CG65" s="4">
        <f t="shared" si="44"/>
        <v>75.396666666666661</v>
      </c>
      <c r="CH65" s="4">
        <f t="shared" si="44"/>
        <v>78.33</v>
      </c>
      <c r="CI65" s="4">
        <f t="shared" si="44"/>
        <v>74.976666666666674</v>
      </c>
      <c r="CJ65" s="4">
        <f t="shared" si="44"/>
        <v>76.883333333333326</v>
      </c>
      <c r="CK65" s="4">
        <f t="shared" si="44"/>
        <v>71.213333333333324</v>
      </c>
      <c r="CL65" s="4">
        <f t="shared" si="44"/>
        <v>77.959999999999994</v>
      </c>
      <c r="CM65" s="4">
        <f t="shared" si="44"/>
        <v>72.766666666666666</v>
      </c>
      <c r="CN65" s="4">
        <f t="shared" si="44"/>
        <v>76.94</v>
      </c>
      <c r="CO65" s="4">
        <f t="shared" si="44"/>
        <v>72.066666666666677</v>
      </c>
      <c r="CP65" s="4">
        <f t="shared" si="44"/>
        <v>73.893333333333331</v>
      </c>
      <c r="CQ65" s="4">
        <f t="shared" si="44"/>
        <v>73.603333333333339</v>
      </c>
      <c r="CR65" s="4">
        <f t="shared" si="44"/>
        <v>80.17</v>
      </c>
      <c r="CS65" s="4">
        <f t="shared" si="44"/>
        <v>75.94</v>
      </c>
      <c r="CT65" s="4">
        <f t="shared" si="44"/>
        <v>76.326666666666668</v>
      </c>
      <c r="CU65" s="4">
        <f t="shared" si="44"/>
        <v>78.876666666666665</v>
      </c>
      <c r="CV65" s="4">
        <f t="shared" si="44"/>
        <v>76.113333333333344</v>
      </c>
      <c r="CW65" s="4">
        <f t="shared" si="44"/>
        <v>80.55</v>
      </c>
      <c r="CX65" s="2">
        <f t="shared" si="0"/>
        <v>77.036966666666672</v>
      </c>
    </row>
    <row r="66" spans="1:102" x14ac:dyDescent="0.2">
      <c r="A66" s="3" t="s">
        <v>72</v>
      </c>
      <c r="B66" s="2">
        <f t="shared" ref="B66:B76" si="45">AVERAGE(B47:B48)</f>
        <v>78.933333333333337</v>
      </c>
      <c r="C66" s="2">
        <f t="shared" ref="C66:BN66" si="46">AVERAGE(C47:C48)</f>
        <v>74.199999999999989</v>
      </c>
      <c r="D66" s="2">
        <f t="shared" si="46"/>
        <v>73.826666666666682</v>
      </c>
      <c r="E66" s="2">
        <f t="shared" si="46"/>
        <v>77.109999999999985</v>
      </c>
      <c r="F66" s="2">
        <f t="shared" si="46"/>
        <v>79.593333333333334</v>
      </c>
      <c r="G66" s="2">
        <f t="shared" si="46"/>
        <v>75.740000000000009</v>
      </c>
      <c r="H66" s="2">
        <f t="shared" si="46"/>
        <v>76.929999999999993</v>
      </c>
      <c r="I66" s="2">
        <f t="shared" si="46"/>
        <v>73.665000000000006</v>
      </c>
      <c r="J66" s="2">
        <f t="shared" si="46"/>
        <v>80.210000000000008</v>
      </c>
      <c r="K66" s="2">
        <f t="shared" si="46"/>
        <v>75.031666666666666</v>
      </c>
      <c r="L66" s="2">
        <f t="shared" si="46"/>
        <v>79.073333333333323</v>
      </c>
      <c r="M66" s="2">
        <f t="shared" si="46"/>
        <v>74.456666666666678</v>
      </c>
      <c r="N66" s="2">
        <f t="shared" si="46"/>
        <v>79.203333333333333</v>
      </c>
      <c r="O66" s="2">
        <f t="shared" si="46"/>
        <v>75.335000000000008</v>
      </c>
      <c r="P66" s="2">
        <f t="shared" si="46"/>
        <v>77.023333333333341</v>
      </c>
      <c r="Q66" s="2">
        <f t="shared" si="46"/>
        <v>77.041666666666657</v>
      </c>
      <c r="R66" s="2">
        <f t="shared" si="46"/>
        <v>77.678333333333327</v>
      </c>
      <c r="S66" s="2">
        <f t="shared" si="46"/>
        <v>77.515000000000001</v>
      </c>
      <c r="T66" s="2">
        <f t="shared" si="46"/>
        <v>76.058333333333337</v>
      </c>
      <c r="U66" s="2">
        <f t="shared" si="46"/>
        <v>76.544999999999987</v>
      </c>
      <c r="V66" s="2">
        <f t="shared" si="46"/>
        <v>79.913333333333341</v>
      </c>
      <c r="W66" s="2">
        <f t="shared" si="46"/>
        <v>74.578333333333333</v>
      </c>
      <c r="X66" s="2">
        <f t="shared" si="46"/>
        <v>77.421666666666667</v>
      </c>
      <c r="Y66" s="2">
        <f t="shared" si="46"/>
        <v>74.838333333333338</v>
      </c>
      <c r="Z66" s="2">
        <f t="shared" si="46"/>
        <v>74.85499999999999</v>
      </c>
      <c r="AA66" s="2">
        <f t="shared" si="46"/>
        <v>74.591666666666654</v>
      </c>
      <c r="AB66" s="2">
        <f t="shared" si="46"/>
        <v>76.476666666666659</v>
      </c>
      <c r="AC66" s="2">
        <f t="shared" si="46"/>
        <v>76.363333333333344</v>
      </c>
      <c r="AD66" s="2">
        <f t="shared" si="46"/>
        <v>81.836666666666673</v>
      </c>
      <c r="AE66" s="2">
        <f t="shared" si="46"/>
        <v>75.908333333333331</v>
      </c>
      <c r="AF66" s="2">
        <f t="shared" si="46"/>
        <v>76.866666666666674</v>
      </c>
      <c r="AG66" s="2">
        <f t="shared" si="46"/>
        <v>76.509999999999991</v>
      </c>
      <c r="AH66" s="2">
        <f t="shared" si="46"/>
        <v>80.765000000000001</v>
      </c>
      <c r="AI66" s="2">
        <f t="shared" si="46"/>
        <v>77.591666666666669</v>
      </c>
      <c r="AJ66" s="2">
        <f t="shared" si="46"/>
        <v>76.196666666666687</v>
      </c>
      <c r="AK66" s="2">
        <f t="shared" si="46"/>
        <v>78.493333333333339</v>
      </c>
      <c r="AL66" s="2">
        <f t="shared" si="46"/>
        <v>78.796666666666667</v>
      </c>
      <c r="AM66" s="2">
        <f t="shared" si="46"/>
        <v>77.593333333333334</v>
      </c>
      <c r="AN66" s="2">
        <f t="shared" si="46"/>
        <v>73.990000000000009</v>
      </c>
      <c r="AO66" s="2">
        <f t="shared" si="46"/>
        <v>76.393333333333331</v>
      </c>
      <c r="AP66" s="2">
        <f t="shared" si="46"/>
        <v>80.450000000000017</v>
      </c>
      <c r="AQ66" s="2">
        <f t="shared" si="46"/>
        <v>74.706666666666663</v>
      </c>
      <c r="AR66" s="2">
        <f t="shared" si="46"/>
        <v>76.098333333333329</v>
      </c>
      <c r="AS66" s="2">
        <f t="shared" si="46"/>
        <v>76.224999999999994</v>
      </c>
      <c r="AT66" s="2">
        <f t="shared" si="46"/>
        <v>75.319999999999993</v>
      </c>
      <c r="AU66" s="2">
        <f t="shared" si="46"/>
        <v>76.421666666666667</v>
      </c>
      <c r="AV66" s="2">
        <f t="shared" si="46"/>
        <v>72.274999999999991</v>
      </c>
      <c r="AW66" s="2">
        <f t="shared" si="46"/>
        <v>76.775000000000006</v>
      </c>
      <c r="AX66" s="2">
        <f t="shared" si="46"/>
        <v>76.740000000000009</v>
      </c>
      <c r="AY66" s="2">
        <f t="shared" si="46"/>
        <v>80.56</v>
      </c>
      <c r="AZ66" s="2">
        <f t="shared" si="46"/>
        <v>78.740000000000009</v>
      </c>
      <c r="BA66" s="2">
        <f t="shared" si="46"/>
        <v>76.136666666666656</v>
      </c>
      <c r="BB66" s="2">
        <f t="shared" si="46"/>
        <v>76.545000000000002</v>
      </c>
      <c r="BC66" s="2">
        <f t="shared" si="46"/>
        <v>79.983333333333334</v>
      </c>
      <c r="BD66" s="2">
        <f t="shared" si="46"/>
        <v>76.064999999999998</v>
      </c>
      <c r="BE66" s="2">
        <f t="shared" si="46"/>
        <v>76.266666666666666</v>
      </c>
      <c r="BF66" s="2">
        <f t="shared" si="46"/>
        <v>75.035000000000011</v>
      </c>
      <c r="BG66" s="2">
        <f t="shared" si="46"/>
        <v>81.205000000000013</v>
      </c>
      <c r="BH66" s="2">
        <f t="shared" si="46"/>
        <v>78.718333333333334</v>
      </c>
      <c r="BI66" s="2">
        <f t="shared" si="46"/>
        <v>75.069999999999993</v>
      </c>
      <c r="BJ66" s="2">
        <f t="shared" si="46"/>
        <v>78.87</v>
      </c>
      <c r="BK66" s="2">
        <f t="shared" si="46"/>
        <v>77.631666666666661</v>
      </c>
      <c r="BL66" s="2">
        <f t="shared" si="46"/>
        <v>78.03</v>
      </c>
      <c r="BM66" s="2">
        <f t="shared" si="46"/>
        <v>79.84</v>
      </c>
      <c r="BN66" s="2">
        <f t="shared" si="46"/>
        <v>76.213333333333338</v>
      </c>
      <c r="BO66" s="2">
        <f t="shared" ref="BO66:CW66" si="47">AVERAGE(BO47:BO48)</f>
        <v>78.123333333333335</v>
      </c>
      <c r="BP66" s="2">
        <f t="shared" si="47"/>
        <v>77.221666666666664</v>
      </c>
      <c r="BQ66" s="2">
        <f t="shared" si="47"/>
        <v>78.413333333333327</v>
      </c>
      <c r="BR66" s="2">
        <f t="shared" si="47"/>
        <v>78.626666666666665</v>
      </c>
      <c r="BS66" s="2">
        <f t="shared" si="47"/>
        <v>76.176666666666662</v>
      </c>
      <c r="BT66" s="2">
        <f t="shared" si="47"/>
        <v>79.683333333333337</v>
      </c>
      <c r="BU66" s="2">
        <f t="shared" si="47"/>
        <v>80.026666666666657</v>
      </c>
      <c r="BV66" s="2">
        <f t="shared" si="47"/>
        <v>76.56</v>
      </c>
      <c r="BW66" s="2">
        <f t="shared" si="47"/>
        <v>76.928333333333342</v>
      </c>
      <c r="BX66" s="2">
        <f t="shared" si="47"/>
        <v>76.615000000000009</v>
      </c>
      <c r="BY66" s="2">
        <f t="shared" si="47"/>
        <v>78.594999999999999</v>
      </c>
      <c r="BZ66" s="2">
        <f t="shared" si="47"/>
        <v>76.463333333333324</v>
      </c>
      <c r="CA66" s="2">
        <f t="shared" si="47"/>
        <v>75.37</v>
      </c>
      <c r="CB66" s="2">
        <f t="shared" si="47"/>
        <v>78.601666666666659</v>
      </c>
      <c r="CC66" s="2">
        <f t="shared" si="47"/>
        <v>77.876666666666665</v>
      </c>
      <c r="CD66" s="2">
        <f t="shared" si="47"/>
        <v>77.743333333333339</v>
      </c>
      <c r="CE66" s="2">
        <f t="shared" si="47"/>
        <v>75.76666666666668</v>
      </c>
      <c r="CF66" s="2">
        <f t="shared" si="47"/>
        <v>71.796666666666653</v>
      </c>
      <c r="CG66" s="2">
        <f t="shared" si="47"/>
        <v>77.31</v>
      </c>
      <c r="CH66" s="2">
        <f t="shared" si="47"/>
        <v>77.02</v>
      </c>
      <c r="CI66" s="2">
        <f t="shared" si="47"/>
        <v>76.84</v>
      </c>
      <c r="CJ66" s="2">
        <f t="shared" si="47"/>
        <v>76.783333333333331</v>
      </c>
      <c r="CK66" s="2">
        <f t="shared" si="47"/>
        <v>71.711666666666659</v>
      </c>
      <c r="CL66" s="2">
        <f t="shared" si="47"/>
        <v>79.351666666666659</v>
      </c>
      <c r="CM66" s="2">
        <f t="shared" si="47"/>
        <v>74.306666666666672</v>
      </c>
      <c r="CN66" s="2">
        <f t="shared" si="47"/>
        <v>78.210000000000008</v>
      </c>
      <c r="CO66" s="2">
        <f t="shared" si="47"/>
        <v>74.551666666666677</v>
      </c>
      <c r="CP66" s="2">
        <f t="shared" si="47"/>
        <v>76.324999999999989</v>
      </c>
      <c r="CQ66" s="2">
        <f t="shared" si="47"/>
        <v>74.41</v>
      </c>
      <c r="CR66" s="2">
        <f t="shared" si="47"/>
        <v>79.638333333333335</v>
      </c>
      <c r="CS66" s="2">
        <f t="shared" si="47"/>
        <v>78.335000000000008</v>
      </c>
      <c r="CT66" s="2">
        <f t="shared" si="47"/>
        <v>76.335000000000008</v>
      </c>
      <c r="CU66" s="2">
        <f t="shared" si="47"/>
        <v>77.62</v>
      </c>
      <c r="CV66" s="2">
        <f t="shared" si="47"/>
        <v>75.113333333333344</v>
      </c>
      <c r="CW66" s="2">
        <f t="shared" si="47"/>
        <v>80.226666666666659</v>
      </c>
      <c r="CX66" s="2">
        <f t="shared" si="0"/>
        <v>76.997483333333307</v>
      </c>
    </row>
    <row r="67" spans="1:102" x14ac:dyDescent="0.2">
      <c r="A67" s="3" t="s">
        <v>73</v>
      </c>
      <c r="B67" s="2">
        <f t="shared" si="45"/>
        <v>79.754999999999995</v>
      </c>
      <c r="C67" s="2">
        <f t="shared" ref="C67:BN67" si="48">AVERAGE(C48:C49)</f>
        <v>74.37833333333333</v>
      </c>
      <c r="D67" s="2">
        <f t="shared" si="48"/>
        <v>74.75333333333333</v>
      </c>
      <c r="E67" s="2">
        <f t="shared" si="48"/>
        <v>76.180000000000007</v>
      </c>
      <c r="F67" s="2">
        <f t="shared" si="48"/>
        <v>79.953333333333347</v>
      </c>
      <c r="G67" s="2">
        <f t="shared" si="48"/>
        <v>75.518333333333345</v>
      </c>
      <c r="H67" s="2">
        <f t="shared" si="48"/>
        <v>77.953333333333333</v>
      </c>
      <c r="I67" s="2">
        <f t="shared" si="48"/>
        <v>74.526666666666671</v>
      </c>
      <c r="J67" s="2">
        <f t="shared" si="48"/>
        <v>76.533333333333331</v>
      </c>
      <c r="K67" s="2">
        <f t="shared" si="48"/>
        <v>74.240000000000009</v>
      </c>
      <c r="L67" s="2">
        <f t="shared" si="48"/>
        <v>77.875</v>
      </c>
      <c r="M67" s="2">
        <f t="shared" si="48"/>
        <v>76.844999999999999</v>
      </c>
      <c r="N67" s="2">
        <f t="shared" si="48"/>
        <v>79.76166666666667</v>
      </c>
      <c r="O67" s="2">
        <f t="shared" si="48"/>
        <v>76.566666666666677</v>
      </c>
      <c r="P67" s="2">
        <f t="shared" si="48"/>
        <v>76.568333333333328</v>
      </c>
      <c r="Q67" s="2">
        <f t="shared" si="48"/>
        <v>78.105000000000004</v>
      </c>
      <c r="R67" s="2">
        <f t="shared" si="48"/>
        <v>78.308333333333337</v>
      </c>
      <c r="S67" s="2">
        <f t="shared" si="48"/>
        <v>80.756666666666661</v>
      </c>
      <c r="T67" s="2">
        <f t="shared" si="48"/>
        <v>73.855000000000004</v>
      </c>
      <c r="U67" s="2">
        <f t="shared" si="48"/>
        <v>75.388333333333321</v>
      </c>
      <c r="V67" s="2">
        <f t="shared" si="48"/>
        <v>76.561666666666667</v>
      </c>
      <c r="W67" s="2">
        <f t="shared" si="48"/>
        <v>74.071666666666673</v>
      </c>
      <c r="X67" s="2">
        <f t="shared" si="48"/>
        <v>74.62</v>
      </c>
      <c r="Y67" s="2">
        <f t="shared" si="48"/>
        <v>74.814999999999998</v>
      </c>
      <c r="Z67" s="2">
        <f t="shared" si="48"/>
        <v>76.115000000000009</v>
      </c>
      <c r="AA67" s="2">
        <f t="shared" si="48"/>
        <v>79.349999999999994</v>
      </c>
      <c r="AB67" s="2">
        <f t="shared" si="48"/>
        <v>73.946666666666658</v>
      </c>
      <c r="AC67" s="2">
        <f t="shared" si="48"/>
        <v>78.883333333333326</v>
      </c>
      <c r="AD67" s="2">
        <f t="shared" si="48"/>
        <v>81.12166666666667</v>
      </c>
      <c r="AE67" s="2">
        <f t="shared" si="48"/>
        <v>76.34</v>
      </c>
      <c r="AF67" s="2">
        <f t="shared" si="48"/>
        <v>79.451666666666682</v>
      </c>
      <c r="AG67" s="2">
        <f t="shared" si="48"/>
        <v>75.59</v>
      </c>
      <c r="AH67" s="2">
        <f t="shared" si="48"/>
        <v>81.958333333333343</v>
      </c>
      <c r="AI67" s="2">
        <f t="shared" si="48"/>
        <v>76.308333333333337</v>
      </c>
      <c r="AJ67" s="2">
        <f t="shared" si="48"/>
        <v>74.24666666666667</v>
      </c>
      <c r="AK67" s="2">
        <f t="shared" si="48"/>
        <v>77.069999999999993</v>
      </c>
      <c r="AL67" s="2">
        <f t="shared" si="48"/>
        <v>79.441666666666663</v>
      </c>
      <c r="AM67" s="2">
        <f t="shared" si="48"/>
        <v>74.989999999999995</v>
      </c>
      <c r="AN67" s="2">
        <f t="shared" si="48"/>
        <v>75.433333333333337</v>
      </c>
      <c r="AO67" s="2">
        <f t="shared" si="48"/>
        <v>77.664999999999992</v>
      </c>
      <c r="AP67" s="2">
        <f t="shared" si="48"/>
        <v>79.251666666666665</v>
      </c>
      <c r="AQ67" s="2">
        <f t="shared" si="48"/>
        <v>74.926666666666662</v>
      </c>
      <c r="AR67" s="2">
        <f t="shared" si="48"/>
        <v>76.431666666666672</v>
      </c>
      <c r="AS67" s="2">
        <f t="shared" si="48"/>
        <v>75.148333333333341</v>
      </c>
      <c r="AT67" s="2">
        <f t="shared" si="48"/>
        <v>76.111666666666665</v>
      </c>
      <c r="AU67" s="2">
        <f t="shared" si="48"/>
        <v>75.381666666666661</v>
      </c>
      <c r="AV67" s="2">
        <f t="shared" si="48"/>
        <v>75.908333333333331</v>
      </c>
      <c r="AW67" s="2">
        <f t="shared" si="48"/>
        <v>77.094999999999999</v>
      </c>
      <c r="AX67" s="2">
        <f t="shared" si="48"/>
        <v>77.66</v>
      </c>
      <c r="AY67" s="2">
        <f t="shared" si="48"/>
        <v>80.043333333333351</v>
      </c>
      <c r="AZ67" s="2">
        <f t="shared" si="48"/>
        <v>79.405000000000001</v>
      </c>
      <c r="BA67" s="2">
        <f t="shared" si="48"/>
        <v>76.553333333333342</v>
      </c>
      <c r="BB67" s="2">
        <f t="shared" si="48"/>
        <v>76.113333333333344</v>
      </c>
      <c r="BC67" s="2">
        <f t="shared" si="48"/>
        <v>78.075000000000003</v>
      </c>
      <c r="BD67" s="2">
        <f t="shared" si="48"/>
        <v>77.433333333333337</v>
      </c>
      <c r="BE67" s="2">
        <f t="shared" si="48"/>
        <v>76.784999999999997</v>
      </c>
      <c r="BF67" s="2">
        <f t="shared" si="48"/>
        <v>75.661666666666676</v>
      </c>
      <c r="BG67" s="2">
        <f t="shared" si="48"/>
        <v>81.64500000000001</v>
      </c>
      <c r="BH67" s="2">
        <f t="shared" si="48"/>
        <v>77.60833333333332</v>
      </c>
      <c r="BI67" s="2">
        <f t="shared" si="48"/>
        <v>73.49666666666667</v>
      </c>
      <c r="BJ67" s="2">
        <f t="shared" si="48"/>
        <v>76.183333333333337</v>
      </c>
      <c r="BK67" s="2">
        <f t="shared" si="48"/>
        <v>74.064999999999998</v>
      </c>
      <c r="BL67" s="2">
        <f t="shared" si="48"/>
        <v>77.958333333333343</v>
      </c>
      <c r="BM67" s="2">
        <f t="shared" si="48"/>
        <v>75.881666666666661</v>
      </c>
      <c r="BN67" s="2">
        <f t="shared" si="48"/>
        <v>75.504999999999995</v>
      </c>
      <c r="BO67" s="2">
        <f t="shared" ref="BO67:CW67" si="49">AVERAGE(BO48:BO49)</f>
        <v>80.45</v>
      </c>
      <c r="BP67" s="2">
        <f t="shared" si="49"/>
        <v>79.291666666666657</v>
      </c>
      <c r="BQ67" s="2">
        <f t="shared" si="49"/>
        <v>77.87166666666667</v>
      </c>
      <c r="BR67" s="2">
        <f t="shared" si="49"/>
        <v>78.416666666666657</v>
      </c>
      <c r="BS67" s="2">
        <f t="shared" si="49"/>
        <v>74.966666666666669</v>
      </c>
      <c r="BT67" s="2">
        <f t="shared" si="49"/>
        <v>78.330000000000013</v>
      </c>
      <c r="BU67" s="2">
        <f t="shared" si="49"/>
        <v>78.484999999999999</v>
      </c>
      <c r="BV67" s="2">
        <f t="shared" si="49"/>
        <v>74.871666666666655</v>
      </c>
      <c r="BW67" s="2">
        <f t="shared" si="49"/>
        <v>76.331666666666678</v>
      </c>
      <c r="BX67" s="2">
        <f t="shared" si="49"/>
        <v>74.37</v>
      </c>
      <c r="BY67" s="2">
        <f t="shared" si="49"/>
        <v>78.326666666666668</v>
      </c>
      <c r="BZ67" s="2">
        <f t="shared" si="49"/>
        <v>75.924999999999997</v>
      </c>
      <c r="CA67" s="2">
        <f t="shared" si="49"/>
        <v>75.239999999999995</v>
      </c>
      <c r="CB67" s="2">
        <f t="shared" si="49"/>
        <v>77.256666666666661</v>
      </c>
      <c r="CC67" s="2">
        <f t="shared" si="49"/>
        <v>76.63333333333334</v>
      </c>
      <c r="CD67" s="2">
        <f t="shared" si="49"/>
        <v>75.36333333333333</v>
      </c>
      <c r="CE67" s="2">
        <f t="shared" si="49"/>
        <v>78.945000000000007</v>
      </c>
      <c r="CF67" s="2">
        <f t="shared" si="49"/>
        <v>71.203333333333319</v>
      </c>
      <c r="CG67" s="2">
        <f t="shared" si="49"/>
        <v>78.838333333333338</v>
      </c>
      <c r="CH67" s="2">
        <f t="shared" si="49"/>
        <v>75.789999999999992</v>
      </c>
      <c r="CI67" s="2">
        <f t="shared" si="49"/>
        <v>77.676666666666662</v>
      </c>
      <c r="CJ67" s="2">
        <f t="shared" si="49"/>
        <v>77.664999999999992</v>
      </c>
      <c r="CK67" s="2">
        <f t="shared" si="49"/>
        <v>74.356666666666655</v>
      </c>
      <c r="CL67" s="2">
        <f t="shared" si="49"/>
        <v>79.698333333333338</v>
      </c>
      <c r="CM67" s="2">
        <f t="shared" si="49"/>
        <v>73.733333333333334</v>
      </c>
      <c r="CN67" s="2">
        <f t="shared" si="49"/>
        <v>77.884999999999991</v>
      </c>
      <c r="CO67" s="2">
        <f t="shared" si="49"/>
        <v>74.825000000000003</v>
      </c>
      <c r="CP67" s="2">
        <f t="shared" si="49"/>
        <v>77.248333333333335</v>
      </c>
      <c r="CQ67" s="2">
        <f t="shared" si="49"/>
        <v>74.663333333333327</v>
      </c>
      <c r="CR67" s="2">
        <f t="shared" si="49"/>
        <v>78.816666666666663</v>
      </c>
      <c r="CS67" s="2">
        <f t="shared" si="49"/>
        <v>78.775000000000006</v>
      </c>
      <c r="CT67" s="2">
        <f t="shared" si="49"/>
        <v>75.789999999999992</v>
      </c>
      <c r="CU67" s="2">
        <f t="shared" si="49"/>
        <v>74.891666666666666</v>
      </c>
      <c r="CV67" s="2">
        <f t="shared" si="49"/>
        <v>76.963333333333338</v>
      </c>
      <c r="CW67" s="2">
        <f t="shared" si="49"/>
        <v>80.113333333333344</v>
      </c>
      <c r="CX67" s="2">
        <f t="shared" si="0"/>
        <v>76.861383333333322</v>
      </c>
    </row>
    <row r="68" spans="1:102" x14ac:dyDescent="0.2">
      <c r="A68" s="3" t="s">
        <v>74</v>
      </c>
      <c r="B68" s="2">
        <f t="shared" si="45"/>
        <v>78.465000000000003</v>
      </c>
      <c r="C68" s="2">
        <f t="shared" ref="C68:BN68" si="50">AVERAGE(C49:C50)</f>
        <v>77.543333333333337</v>
      </c>
      <c r="D68" s="2">
        <f t="shared" si="50"/>
        <v>76.94</v>
      </c>
      <c r="E68" s="2">
        <f t="shared" si="50"/>
        <v>75.771666666666675</v>
      </c>
      <c r="F68" s="2">
        <f t="shared" si="50"/>
        <v>78.50333333333333</v>
      </c>
      <c r="G68" s="2">
        <f t="shared" si="50"/>
        <v>76.193333333333328</v>
      </c>
      <c r="H68" s="2">
        <f t="shared" si="50"/>
        <v>78.103333333333339</v>
      </c>
      <c r="I68" s="2">
        <f t="shared" si="50"/>
        <v>75.594999999999999</v>
      </c>
      <c r="J68" s="2">
        <f t="shared" si="50"/>
        <v>73.389999999999986</v>
      </c>
      <c r="K68" s="2">
        <f t="shared" si="50"/>
        <v>76.068333333333342</v>
      </c>
      <c r="L68" s="2">
        <f t="shared" si="50"/>
        <v>75.94</v>
      </c>
      <c r="M68" s="2">
        <f t="shared" si="50"/>
        <v>78.524999999999991</v>
      </c>
      <c r="N68" s="2">
        <f t="shared" si="50"/>
        <v>77.906666666666666</v>
      </c>
      <c r="O68" s="2">
        <f t="shared" si="50"/>
        <v>76.02000000000001</v>
      </c>
      <c r="P68" s="2">
        <f t="shared" si="50"/>
        <v>75.194999999999993</v>
      </c>
      <c r="Q68" s="2">
        <f t="shared" si="50"/>
        <v>78.591666666666669</v>
      </c>
      <c r="R68" s="2">
        <f t="shared" si="50"/>
        <v>79.453333333333333</v>
      </c>
      <c r="S68" s="2">
        <f t="shared" si="50"/>
        <v>80.460000000000008</v>
      </c>
      <c r="T68" s="2">
        <f t="shared" si="50"/>
        <v>73.485000000000014</v>
      </c>
      <c r="U68" s="2">
        <f t="shared" si="50"/>
        <v>76.414999999999992</v>
      </c>
      <c r="V68" s="2">
        <f t="shared" si="50"/>
        <v>76.458333333333329</v>
      </c>
      <c r="W68" s="2">
        <f t="shared" si="50"/>
        <v>72.990000000000009</v>
      </c>
      <c r="X68" s="2">
        <f t="shared" si="50"/>
        <v>73.556666666666672</v>
      </c>
      <c r="Y68" s="2">
        <f t="shared" si="50"/>
        <v>76.97</v>
      </c>
      <c r="Z68" s="2">
        <f t="shared" si="50"/>
        <v>76.56</v>
      </c>
      <c r="AA68" s="2">
        <f t="shared" si="50"/>
        <v>80.635000000000005</v>
      </c>
      <c r="AB68" s="2">
        <f t="shared" si="50"/>
        <v>74.748333333333335</v>
      </c>
      <c r="AC68" s="2">
        <f t="shared" si="50"/>
        <v>79.12833333333333</v>
      </c>
      <c r="AD68" s="2">
        <f t="shared" si="50"/>
        <v>74.478333333333325</v>
      </c>
      <c r="AE68" s="2">
        <f t="shared" si="50"/>
        <v>74.62833333333333</v>
      </c>
      <c r="AF68" s="2">
        <f t="shared" si="50"/>
        <v>80.976666666666659</v>
      </c>
      <c r="AG68" s="2">
        <f t="shared" si="50"/>
        <v>73.316666666666663</v>
      </c>
      <c r="AH68" s="2">
        <f t="shared" si="50"/>
        <v>79.203333333333347</v>
      </c>
      <c r="AI68" s="2">
        <f t="shared" si="50"/>
        <v>78.223333333333329</v>
      </c>
      <c r="AJ68" s="2">
        <f t="shared" si="50"/>
        <v>72.859999999999985</v>
      </c>
      <c r="AK68" s="2">
        <f t="shared" si="50"/>
        <v>78.23833333333333</v>
      </c>
      <c r="AL68" s="2">
        <f t="shared" si="50"/>
        <v>77.67</v>
      </c>
      <c r="AM68" s="2">
        <f t="shared" si="50"/>
        <v>76.376666666666665</v>
      </c>
      <c r="AN68" s="2">
        <f t="shared" si="50"/>
        <v>78.578333333333319</v>
      </c>
      <c r="AO68" s="2">
        <f t="shared" si="50"/>
        <v>76.474999999999994</v>
      </c>
      <c r="AP68" s="2">
        <f t="shared" si="50"/>
        <v>77.318333333333328</v>
      </c>
      <c r="AQ68" s="2">
        <f t="shared" si="50"/>
        <v>76.706666666666663</v>
      </c>
      <c r="AR68" s="2">
        <f t="shared" si="50"/>
        <v>76.563333333333333</v>
      </c>
      <c r="AS68" s="2">
        <f t="shared" si="50"/>
        <v>74.101666666666659</v>
      </c>
      <c r="AT68" s="2">
        <f t="shared" si="50"/>
        <v>77.316666666666663</v>
      </c>
      <c r="AU68" s="2">
        <f t="shared" si="50"/>
        <v>77.795000000000016</v>
      </c>
      <c r="AV68" s="2">
        <f t="shared" si="50"/>
        <v>77.461666666666673</v>
      </c>
      <c r="AW68" s="2">
        <f t="shared" si="50"/>
        <v>76.745000000000005</v>
      </c>
      <c r="AX68" s="2">
        <f t="shared" si="50"/>
        <v>76.013333333333335</v>
      </c>
      <c r="AY68" s="2">
        <f t="shared" si="50"/>
        <v>74.599999999999994</v>
      </c>
      <c r="AZ68" s="2">
        <f t="shared" si="50"/>
        <v>78.911666666666662</v>
      </c>
      <c r="BA68" s="2">
        <f t="shared" si="50"/>
        <v>76.663333333333341</v>
      </c>
      <c r="BB68" s="2">
        <f t="shared" si="50"/>
        <v>77.156666666666666</v>
      </c>
      <c r="BC68" s="2">
        <f t="shared" si="50"/>
        <v>76.058333333333337</v>
      </c>
      <c r="BD68" s="2">
        <f t="shared" si="50"/>
        <v>74.146666666666675</v>
      </c>
      <c r="BE68" s="2">
        <f t="shared" si="50"/>
        <v>74.536666666666662</v>
      </c>
      <c r="BF68" s="2">
        <f t="shared" si="50"/>
        <v>77.691666666666677</v>
      </c>
      <c r="BG68" s="2">
        <f t="shared" si="50"/>
        <v>79.541666666666671</v>
      </c>
      <c r="BH68" s="2">
        <f t="shared" si="50"/>
        <v>74.94</v>
      </c>
      <c r="BI68" s="2">
        <f t="shared" si="50"/>
        <v>74.718333333333334</v>
      </c>
      <c r="BJ68" s="2">
        <f t="shared" si="50"/>
        <v>76.644999999999996</v>
      </c>
      <c r="BK68" s="2">
        <f t="shared" si="50"/>
        <v>76.016666666666666</v>
      </c>
      <c r="BL68" s="2">
        <f t="shared" si="50"/>
        <v>77.355000000000004</v>
      </c>
      <c r="BM68" s="2">
        <f t="shared" si="50"/>
        <v>77.588333333333338</v>
      </c>
      <c r="BN68" s="2">
        <f t="shared" si="50"/>
        <v>78.765000000000001</v>
      </c>
      <c r="BO68" s="2">
        <f t="shared" ref="BO68:CW68" si="51">AVERAGE(BO49:BO50)</f>
        <v>80.838333333333338</v>
      </c>
      <c r="BP68" s="2">
        <f t="shared" si="51"/>
        <v>79.195000000000007</v>
      </c>
      <c r="BQ68" s="2">
        <f t="shared" si="51"/>
        <v>78.803333333333342</v>
      </c>
      <c r="BR68" s="2">
        <f t="shared" si="51"/>
        <v>76.148333333333341</v>
      </c>
      <c r="BS68" s="2">
        <f t="shared" si="51"/>
        <v>75.031666666666666</v>
      </c>
      <c r="BT68" s="2">
        <f t="shared" si="51"/>
        <v>79.185000000000002</v>
      </c>
      <c r="BU68" s="2">
        <f t="shared" si="51"/>
        <v>77.319999999999993</v>
      </c>
      <c r="BV68" s="2">
        <f t="shared" si="51"/>
        <v>75.381666666666661</v>
      </c>
      <c r="BW68" s="2">
        <f t="shared" si="51"/>
        <v>73.831666666666678</v>
      </c>
      <c r="BX68" s="2">
        <f t="shared" si="51"/>
        <v>74.281666666666666</v>
      </c>
      <c r="BY68" s="2">
        <f t="shared" si="51"/>
        <v>77.516666666666666</v>
      </c>
      <c r="BZ68" s="2">
        <f t="shared" si="51"/>
        <v>76.346666666666664</v>
      </c>
      <c r="CA68" s="2">
        <f t="shared" si="51"/>
        <v>78.263333333333321</v>
      </c>
      <c r="CB68" s="2">
        <f t="shared" si="51"/>
        <v>71.724999999999994</v>
      </c>
      <c r="CC68" s="2">
        <f t="shared" si="51"/>
        <v>76.108333333333348</v>
      </c>
      <c r="CD68" s="2">
        <f t="shared" si="51"/>
        <v>75.986666666666665</v>
      </c>
      <c r="CE68" s="2">
        <f t="shared" si="51"/>
        <v>79.971666666666664</v>
      </c>
      <c r="CF68" s="2">
        <f t="shared" si="51"/>
        <v>77.398333333333326</v>
      </c>
      <c r="CG68" s="2">
        <f t="shared" si="51"/>
        <v>78.431666666666672</v>
      </c>
      <c r="CH68" s="2">
        <f t="shared" si="51"/>
        <v>75.539999999999992</v>
      </c>
      <c r="CI68" s="2">
        <f t="shared" si="51"/>
        <v>76.748333333333335</v>
      </c>
      <c r="CJ68" s="2">
        <f t="shared" si="51"/>
        <v>77.951666666666668</v>
      </c>
      <c r="CK68" s="2">
        <f t="shared" si="51"/>
        <v>77.393333333333331</v>
      </c>
      <c r="CL68" s="2">
        <f t="shared" si="51"/>
        <v>78.273333333333341</v>
      </c>
      <c r="CM68" s="2">
        <f t="shared" si="51"/>
        <v>70.961666666666673</v>
      </c>
      <c r="CN68" s="2">
        <f t="shared" si="51"/>
        <v>76.758333333333326</v>
      </c>
      <c r="CO68" s="2">
        <f t="shared" si="51"/>
        <v>73.405000000000001</v>
      </c>
      <c r="CP68" s="2">
        <f t="shared" si="51"/>
        <v>78.438333333333333</v>
      </c>
      <c r="CQ68" s="2">
        <f t="shared" si="51"/>
        <v>75.61666666666666</v>
      </c>
      <c r="CR68" s="2">
        <f t="shared" si="51"/>
        <v>78.48333333333332</v>
      </c>
      <c r="CS68" s="2">
        <f t="shared" si="51"/>
        <v>75.693333333333328</v>
      </c>
      <c r="CT68" s="2">
        <f t="shared" si="51"/>
        <v>75.691666666666663</v>
      </c>
      <c r="CU68" s="2">
        <f t="shared" si="51"/>
        <v>76.598333333333329</v>
      </c>
      <c r="CV68" s="2">
        <f t="shared" si="51"/>
        <v>81.298333333333346</v>
      </c>
      <c r="CW68" s="2">
        <f t="shared" si="51"/>
        <v>80.233333333333334</v>
      </c>
      <c r="CX68" s="2">
        <f t="shared" si="0"/>
        <v>76.768433333333334</v>
      </c>
    </row>
    <row r="69" spans="1:102" x14ac:dyDescent="0.2">
      <c r="A69" s="3" t="s">
        <v>75</v>
      </c>
      <c r="B69" s="2">
        <f t="shared" si="45"/>
        <v>78.006666666666661</v>
      </c>
      <c r="C69" s="2">
        <f t="shared" ref="C69:BN69" si="52">AVERAGE(C50:C51)</f>
        <v>77.605000000000004</v>
      </c>
      <c r="D69" s="2">
        <f t="shared" si="52"/>
        <v>77.091666666666669</v>
      </c>
      <c r="E69" s="2">
        <f t="shared" si="52"/>
        <v>76.460000000000008</v>
      </c>
      <c r="F69" s="2">
        <f t="shared" si="52"/>
        <v>75.448333333333323</v>
      </c>
      <c r="G69" s="2">
        <f t="shared" si="52"/>
        <v>78.973333333333329</v>
      </c>
      <c r="H69" s="2">
        <f t="shared" si="52"/>
        <v>76.59</v>
      </c>
      <c r="I69" s="2">
        <f t="shared" si="52"/>
        <v>78.150000000000006</v>
      </c>
      <c r="J69" s="2">
        <f t="shared" si="52"/>
        <v>75.724999999999994</v>
      </c>
      <c r="K69" s="2">
        <f t="shared" si="52"/>
        <v>78.385000000000005</v>
      </c>
      <c r="L69" s="2">
        <f t="shared" si="52"/>
        <v>74.514999999999986</v>
      </c>
      <c r="M69" s="2">
        <f t="shared" si="52"/>
        <v>75.625</v>
      </c>
      <c r="N69" s="2">
        <f t="shared" si="52"/>
        <v>74.513333333333321</v>
      </c>
      <c r="O69" s="2">
        <f t="shared" si="52"/>
        <v>75.710000000000008</v>
      </c>
      <c r="P69" s="2">
        <f t="shared" si="52"/>
        <v>74.083333333333329</v>
      </c>
      <c r="Q69" s="2">
        <f t="shared" si="52"/>
        <v>78.796666666666667</v>
      </c>
      <c r="R69" s="2">
        <f t="shared" si="52"/>
        <v>81.261666666666656</v>
      </c>
      <c r="S69" s="2">
        <f t="shared" si="52"/>
        <v>77.765000000000001</v>
      </c>
      <c r="T69" s="2">
        <f t="shared" si="52"/>
        <v>75.488333333333344</v>
      </c>
      <c r="U69" s="2">
        <f t="shared" si="52"/>
        <v>77.960000000000008</v>
      </c>
      <c r="V69" s="2">
        <f t="shared" si="52"/>
        <v>77.501666666666665</v>
      </c>
      <c r="W69" s="2">
        <f t="shared" si="52"/>
        <v>75.800000000000011</v>
      </c>
      <c r="X69" s="2">
        <f t="shared" si="52"/>
        <v>77.531666666666666</v>
      </c>
      <c r="Y69" s="2">
        <f t="shared" si="52"/>
        <v>79.385000000000005</v>
      </c>
      <c r="Z69" s="2">
        <f t="shared" si="52"/>
        <v>75.076666666666654</v>
      </c>
      <c r="AA69" s="2">
        <f t="shared" si="52"/>
        <v>77.928333333333342</v>
      </c>
      <c r="AB69" s="2">
        <f t="shared" si="52"/>
        <v>75.681666666666672</v>
      </c>
      <c r="AC69" s="2">
        <f t="shared" si="52"/>
        <v>77.034999999999997</v>
      </c>
      <c r="AD69" s="2">
        <f t="shared" si="52"/>
        <v>73.55</v>
      </c>
      <c r="AE69" s="2">
        <f t="shared" si="52"/>
        <v>75.061666666666667</v>
      </c>
      <c r="AF69" s="2">
        <f t="shared" si="52"/>
        <v>80.75333333333333</v>
      </c>
      <c r="AG69" s="2">
        <f t="shared" si="52"/>
        <v>75.333333333333329</v>
      </c>
      <c r="AH69" s="2">
        <f t="shared" si="52"/>
        <v>76.800000000000011</v>
      </c>
      <c r="AI69" s="2">
        <f t="shared" si="52"/>
        <v>77.331666666666678</v>
      </c>
      <c r="AJ69" s="2">
        <f t="shared" si="52"/>
        <v>75.581666666666663</v>
      </c>
      <c r="AK69" s="2">
        <f t="shared" si="52"/>
        <v>80.933333333333323</v>
      </c>
      <c r="AL69" s="2">
        <f t="shared" si="52"/>
        <v>77.193333333333328</v>
      </c>
      <c r="AM69" s="2">
        <f t="shared" si="52"/>
        <v>78.031666666666666</v>
      </c>
      <c r="AN69" s="2">
        <f t="shared" si="52"/>
        <v>78.041666666666657</v>
      </c>
      <c r="AO69" s="2">
        <f t="shared" si="52"/>
        <v>77.896666666666661</v>
      </c>
      <c r="AP69" s="2">
        <f t="shared" si="52"/>
        <v>75.808333333333337</v>
      </c>
      <c r="AQ69" s="2">
        <f t="shared" si="52"/>
        <v>77.786666666666662</v>
      </c>
      <c r="AR69" s="2">
        <f t="shared" si="52"/>
        <v>76.653333333333336</v>
      </c>
      <c r="AS69" s="2">
        <f t="shared" si="52"/>
        <v>74.164999999999992</v>
      </c>
      <c r="AT69" s="2">
        <f t="shared" si="52"/>
        <v>75.576666666666654</v>
      </c>
      <c r="AU69" s="2">
        <f t="shared" si="52"/>
        <v>78.751666666666679</v>
      </c>
      <c r="AV69" s="2">
        <f t="shared" si="52"/>
        <v>78.180000000000007</v>
      </c>
      <c r="AW69" s="2">
        <f t="shared" si="52"/>
        <v>77.66</v>
      </c>
      <c r="AX69" s="2">
        <f t="shared" si="52"/>
        <v>75.398333333333341</v>
      </c>
      <c r="AY69" s="2">
        <f t="shared" si="52"/>
        <v>75.976666666666659</v>
      </c>
      <c r="AZ69" s="2">
        <f t="shared" si="52"/>
        <v>78.163333333333327</v>
      </c>
      <c r="BA69" s="2">
        <f t="shared" si="52"/>
        <v>73.960000000000008</v>
      </c>
      <c r="BB69" s="2">
        <f t="shared" si="52"/>
        <v>77.85499999999999</v>
      </c>
      <c r="BC69" s="2">
        <f t="shared" si="52"/>
        <v>73.849999999999994</v>
      </c>
      <c r="BD69" s="2">
        <f t="shared" si="52"/>
        <v>71.759999999999991</v>
      </c>
      <c r="BE69" s="2">
        <f t="shared" si="52"/>
        <v>70.626666666666665</v>
      </c>
      <c r="BF69" s="2">
        <f t="shared" si="52"/>
        <v>79.515000000000001</v>
      </c>
      <c r="BG69" s="2">
        <f t="shared" si="52"/>
        <v>77.675000000000011</v>
      </c>
      <c r="BH69" s="2">
        <f t="shared" si="52"/>
        <v>77.433333333333337</v>
      </c>
      <c r="BI69" s="2">
        <f t="shared" si="52"/>
        <v>78.23333333333332</v>
      </c>
      <c r="BJ69" s="2">
        <f t="shared" si="52"/>
        <v>76.594999999999999</v>
      </c>
      <c r="BK69" s="2">
        <f t="shared" si="52"/>
        <v>79.551666666666662</v>
      </c>
      <c r="BL69" s="2">
        <f t="shared" si="52"/>
        <v>74.056666666666672</v>
      </c>
      <c r="BM69" s="2">
        <f t="shared" si="52"/>
        <v>81.233333333333334</v>
      </c>
      <c r="BN69" s="2">
        <f t="shared" si="52"/>
        <v>77.981666666666669</v>
      </c>
      <c r="BO69" s="2">
        <f t="shared" ref="BO69:CW69" si="53">AVERAGE(BO50:BO51)</f>
        <v>78.846666666666664</v>
      </c>
      <c r="BP69" s="2">
        <f t="shared" si="53"/>
        <v>80.045000000000016</v>
      </c>
      <c r="BQ69" s="2">
        <f t="shared" si="53"/>
        <v>76.735000000000014</v>
      </c>
      <c r="BR69" s="2">
        <f t="shared" si="53"/>
        <v>74.081666666666678</v>
      </c>
      <c r="BS69" s="2">
        <f t="shared" si="53"/>
        <v>76.096666666666664</v>
      </c>
      <c r="BT69" s="2">
        <f t="shared" si="53"/>
        <v>82.066666666666663</v>
      </c>
      <c r="BU69" s="2">
        <f t="shared" si="53"/>
        <v>77.501666666666665</v>
      </c>
      <c r="BV69" s="2">
        <f t="shared" si="53"/>
        <v>76.66</v>
      </c>
      <c r="BW69" s="2">
        <f t="shared" si="53"/>
        <v>73.973333333333329</v>
      </c>
      <c r="BX69" s="2">
        <f t="shared" si="53"/>
        <v>73.72999999999999</v>
      </c>
      <c r="BY69" s="2">
        <f t="shared" si="53"/>
        <v>79.138333333333335</v>
      </c>
      <c r="BZ69" s="2">
        <f t="shared" si="53"/>
        <v>78.196666666666658</v>
      </c>
      <c r="CA69" s="2">
        <f t="shared" si="53"/>
        <v>78.376666666666665</v>
      </c>
      <c r="CB69" s="2">
        <f t="shared" si="53"/>
        <v>71.78</v>
      </c>
      <c r="CC69" s="2">
        <f t="shared" si="53"/>
        <v>75.635000000000005</v>
      </c>
      <c r="CD69" s="2">
        <f t="shared" si="53"/>
        <v>76.311666666666667</v>
      </c>
      <c r="CE69" s="2">
        <f t="shared" si="53"/>
        <v>76.150000000000006</v>
      </c>
      <c r="CF69" s="2">
        <f t="shared" si="53"/>
        <v>77.546666666666653</v>
      </c>
      <c r="CG69" s="2">
        <f t="shared" si="53"/>
        <v>79.10833333333332</v>
      </c>
      <c r="CH69" s="2">
        <f t="shared" si="53"/>
        <v>73.944999999999993</v>
      </c>
      <c r="CI69" s="2">
        <f t="shared" si="53"/>
        <v>76.28</v>
      </c>
      <c r="CJ69" s="2">
        <f t="shared" si="53"/>
        <v>76.436666666666667</v>
      </c>
      <c r="CK69" s="2">
        <f t="shared" si="53"/>
        <v>78.094999999999999</v>
      </c>
      <c r="CL69" s="2">
        <f t="shared" si="53"/>
        <v>77.414999999999992</v>
      </c>
      <c r="CM69" s="2">
        <f t="shared" si="53"/>
        <v>73.548333333333332</v>
      </c>
      <c r="CN69" s="2">
        <f t="shared" si="53"/>
        <v>79.356666666666669</v>
      </c>
      <c r="CO69" s="2">
        <f t="shared" si="53"/>
        <v>74.208333333333343</v>
      </c>
      <c r="CP69" s="2">
        <f t="shared" si="53"/>
        <v>80.14</v>
      </c>
      <c r="CQ69" s="2">
        <f t="shared" si="53"/>
        <v>77.294999999999987</v>
      </c>
      <c r="CR69" s="2">
        <f t="shared" si="53"/>
        <v>75.776666666666671</v>
      </c>
      <c r="CS69" s="2">
        <f t="shared" si="53"/>
        <v>75.135000000000005</v>
      </c>
      <c r="CT69" s="2">
        <f t="shared" si="53"/>
        <v>75.754999999999995</v>
      </c>
      <c r="CU69" s="2">
        <f t="shared" si="53"/>
        <v>81.873333333333335</v>
      </c>
      <c r="CV69" s="2">
        <f t="shared" si="53"/>
        <v>80.931666666666672</v>
      </c>
      <c r="CW69" s="2">
        <f t="shared" si="53"/>
        <v>79.10499999999999</v>
      </c>
      <c r="CX69" s="2">
        <f t="shared" si="0"/>
        <v>76.923249999999996</v>
      </c>
    </row>
    <row r="70" spans="1:102" x14ac:dyDescent="0.2">
      <c r="A70" s="3" t="s">
        <v>76</v>
      </c>
      <c r="B70" s="2">
        <f t="shared" si="45"/>
        <v>80.12833333333333</v>
      </c>
      <c r="C70" s="2">
        <f t="shared" ref="C70:BN70" si="54">AVERAGE(C51:C52)</f>
        <v>76.298333333333332</v>
      </c>
      <c r="D70" s="2">
        <f t="shared" si="54"/>
        <v>76.041666666666657</v>
      </c>
      <c r="E70" s="2">
        <f t="shared" si="54"/>
        <v>77.373333333333335</v>
      </c>
      <c r="F70" s="2">
        <f t="shared" si="54"/>
        <v>75.44</v>
      </c>
      <c r="G70" s="2">
        <f t="shared" si="54"/>
        <v>80.331666666666678</v>
      </c>
      <c r="H70" s="2">
        <f t="shared" si="54"/>
        <v>79.586666666666673</v>
      </c>
      <c r="I70" s="2">
        <f t="shared" si="54"/>
        <v>80.176666666666677</v>
      </c>
      <c r="J70" s="2">
        <f t="shared" si="54"/>
        <v>78.033333333333331</v>
      </c>
      <c r="K70" s="2">
        <f t="shared" si="54"/>
        <v>79.64</v>
      </c>
      <c r="L70" s="2">
        <f t="shared" si="54"/>
        <v>74.071666666666658</v>
      </c>
      <c r="M70" s="2">
        <f t="shared" si="54"/>
        <v>75.465000000000003</v>
      </c>
      <c r="N70" s="2">
        <f t="shared" si="54"/>
        <v>75.088333333333324</v>
      </c>
      <c r="O70" s="2">
        <f t="shared" si="54"/>
        <v>77.900000000000006</v>
      </c>
      <c r="P70" s="2">
        <f t="shared" si="54"/>
        <v>75.243333333333325</v>
      </c>
      <c r="Q70" s="2">
        <f t="shared" si="54"/>
        <v>75.663333333333327</v>
      </c>
      <c r="R70" s="2">
        <f t="shared" si="54"/>
        <v>80.671666666666653</v>
      </c>
      <c r="S70" s="2">
        <f t="shared" si="54"/>
        <v>76.056666666666672</v>
      </c>
      <c r="T70" s="2">
        <f t="shared" si="54"/>
        <v>77.148333333333341</v>
      </c>
      <c r="U70" s="2">
        <f t="shared" si="54"/>
        <v>76.406666666666666</v>
      </c>
      <c r="V70" s="2">
        <f t="shared" si="54"/>
        <v>75.846666666666664</v>
      </c>
      <c r="W70" s="2">
        <f t="shared" si="54"/>
        <v>77.966666666666669</v>
      </c>
      <c r="X70" s="2">
        <f t="shared" si="54"/>
        <v>80.281666666666666</v>
      </c>
      <c r="Y70" s="2">
        <f t="shared" si="54"/>
        <v>79.25333333333333</v>
      </c>
      <c r="Z70" s="2">
        <f t="shared" si="54"/>
        <v>76.35499999999999</v>
      </c>
      <c r="AA70" s="2">
        <f t="shared" si="54"/>
        <v>76.848333333333329</v>
      </c>
      <c r="AB70" s="2">
        <f t="shared" si="54"/>
        <v>76.348333333333329</v>
      </c>
      <c r="AC70" s="2">
        <f t="shared" si="54"/>
        <v>78.039999999999992</v>
      </c>
      <c r="AD70" s="2">
        <f t="shared" si="54"/>
        <v>78.511666666666656</v>
      </c>
      <c r="AE70" s="2">
        <f t="shared" si="54"/>
        <v>75.844999999999999</v>
      </c>
      <c r="AF70" s="2">
        <f t="shared" si="54"/>
        <v>81.596666666666664</v>
      </c>
      <c r="AG70" s="2">
        <f t="shared" si="54"/>
        <v>80.473333333333329</v>
      </c>
      <c r="AH70" s="2">
        <f t="shared" si="54"/>
        <v>77.00333333333333</v>
      </c>
      <c r="AI70" s="2">
        <f t="shared" si="54"/>
        <v>75.398333333333341</v>
      </c>
      <c r="AJ70" s="2">
        <f t="shared" si="54"/>
        <v>74.655000000000001</v>
      </c>
      <c r="AK70" s="2">
        <f t="shared" si="54"/>
        <v>80.964999999999989</v>
      </c>
      <c r="AL70" s="2">
        <f t="shared" si="54"/>
        <v>78.498333333333335</v>
      </c>
      <c r="AM70" s="2">
        <f t="shared" si="54"/>
        <v>77.953333333333333</v>
      </c>
      <c r="AN70" s="2">
        <f t="shared" si="54"/>
        <v>75.63</v>
      </c>
      <c r="AO70" s="2">
        <f t="shared" si="54"/>
        <v>77.133333333333326</v>
      </c>
      <c r="AP70" s="2">
        <f t="shared" si="54"/>
        <v>72.733333333333334</v>
      </c>
      <c r="AQ70" s="2">
        <f t="shared" si="54"/>
        <v>78.018333333333345</v>
      </c>
      <c r="AR70" s="2">
        <f t="shared" si="54"/>
        <v>76.446666666666658</v>
      </c>
      <c r="AS70" s="2">
        <f t="shared" si="54"/>
        <v>74.465000000000003</v>
      </c>
      <c r="AT70" s="2">
        <f t="shared" si="54"/>
        <v>74.935000000000002</v>
      </c>
      <c r="AU70" s="2">
        <f t="shared" si="54"/>
        <v>76.498333333333335</v>
      </c>
      <c r="AV70" s="2">
        <f t="shared" si="54"/>
        <v>81.103333333333325</v>
      </c>
      <c r="AW70" s="2">
        <f t="shared" si="54"/>
        <v>78.358333333333334</v>
      </c>
      <c r="AX70" s="2">
        <f t="shared" si="54"/>
        <v>75.761666666666656</v>
      </c>
      <c r="AY70" s="2">
        <f t="shared" si="54"/>
        <v>79.680000000000007</v>
      </c>
      <c r="AZ70" s="2">
        <f t="shared" si="54"/>
        <v>79.808333333333337</v>
      </c>
      <c r="BA70" s="2">
        <f t="shared" si="54"/>
        <v>73.661666666666662</v>
      </c>
      <c r="BB70" s="2">
        <f t="shared" si="54"/>
        <v>77.995000000000005</v>
      </c>
      <c r="BC70" s="2">
        <f t="shared" si="54"/>
        <v>74.066666666666663</v>
      </c>
      <c r="BD70" s="2">
        <f t="shared" si="54"/>
        <v>74.898333333333341</v>
      </c>
      <c r="BE70" s="2">
        <f t="shared" si="54"/>
        <v>73.008333333333326</v>
      </c>
      <c r="BF70" s="2">
        <f t="shared" si="54"/>
        <v>81.114999999999995</v>
      </c>
      <c r="BG70" s="2">
        <f t="shared" si="54"/>
        <v>78.726666666666659</v>
      </c>
      <c r="BH70" s="2">
        <f t="shared" si="54"/>
        <v>80.306666666666672</v>
      </c>
      <c r="BI70" s="2">
        <f t="shared" si="54"/>
        <v>80.085000000000008</v>
      </c>
      <c r="BJ70" s="2">
        <f t="shared" si="54"/>
        <v>76.653333333333336</v>
      </c>
      <c r="BK70" s="2">
        <f t="shared" si="54"/>
        <v>77.236666666666665</v>
      </c>
      <c r="BL70" s="2">
        <f t="shared" si="54"/>
        <v>74.289999999999992</v>
      </c>
      <c r="BM70" s="2">
        <f t="shared" si="54"/>
        <v>76.968333333333334</v>
      </c>
      <c r="BN70" s="2">
        <f t="shared" si="54"/>
        <v>78.38</v>
      </c>
      <c r="BO70" s="2">
        <f t="shared" ref="BO70:CW70" si="55">AVERAGE(BO51:BO52)</f>
        <v>79.454999999999984</v>
      </c>
      <c r="BP70" s="2">
        <f t="shared" si="55"/>
        <v>79.97</v>
      </c>
      <c r="BQ70" s="2">
        <f t="shared" si="55"/>
        <v>74.543333333333351</v>
      </c>
      <c r="BR70" s="2">
        <f t="shared" si="55"/>
        <v>73.41</v>
      </c>
      <c r="BS70" s="2">
        <f t="shared" si="55"/>
        <v>74.933333333333337</v>
      </c>
      <c r="BT70" s="2">
        <f t="shared" si="55"/>
        <v>79.594999999999999</v>
      </c>
      <c r="BU70" s="2">
        <f t="shared" si="55"/>
        <v>79.12166666666667</v>
      </c>
      <c r="BV70" s="2">
        <f t="shared" si="55"/>
        <v>76.081666666666649</v>
      </c>
      <c r="BW70" s="2">
        <f t="shared" si="55"/>
        <v>76.335000000000008</v>
      </c>
      <c r="BX70" s="2">
        <f t="shared" si="55"/>
        <v>74.668333333333322</v>
      </c>
      <c r="BY70" s="2">
        <f t="shared" si="55"/>
        <v>76.75833333333334</v>
      </c>
      <c r="BZ70" s="2">
        <f t="shared" si="55"/>
        <v>79.474999999999994</v>
      </c>
      <c r="CA70" s="2">
        <f t="shared" si="55"/>
        <v>76.944999999999993</v>
      </c>
      <c r="CB70" s="2">
        <f t="shared" si="55"/>
        <v>77.215000000000003</v>
      </c>
      <c r="CC70" s="2">
        <f t="shared" si="55"/>
        <v>75.491666666666674</v>
      </c>
      <c r="CD70" s="2">
        <f t="shared" si="55"/>
        <v>76.146666666666675</v>
      </c>
      <c r="CE70" s="2">
        <f t="shared" si="55"/>
        <v>73.33</v>
      </c>
      <c r="CF70" s="2">
        <f t="shared" si="55"/>
        <v>75.00333333333333</v>
      </c>
      <c r="CG70" s="2">
        <f t="shared" si="55"/>
        <v>79.819999999999993</v>
      </c>
      <c r="CH70" s="2">
        <f t="shared" si="55"/>
        <v>73.789999999999992</v>
      </c>
      <c r="CI70" s="2">
        <f t="shared" si="55"/>
        <v>74.838333333333324</v>
      </c>
      <c r="CJ70" s="2">
        <f t="shared" si="55"/>
        <v>75.993333333333339</v>
      </c>
      <c r="CK70" s="2">
        <f t="shared" si="55"/>
        <v>77.848333333333329</v>
      </c>
      <c r="CL70" s="2">
        <f t="shared" si="55"/>
        <v>77.14500000000001</v>
      </c>
      <c r="CM70" s="2">
        <f t="shared" si="55"/>
        <v>75.51666666666668</v>
      </c>
      <c r="CN70" s="2">
        <f t="shared" si="55"/>
        <v>80.726666666666659</v>
      </c>
      <c r="CO70" s="2">
        <f t="shared" si="55"/>
        <v>78.09</v>
      </c>
      <c r="CP70" s="2">
        <f t="shared" si="55"/>
        <v>78.598333333333329</v>
      </c>
      <c r="CQ70" s="2">
        <f t="shared" si="55"/>
        <v>78.146666666666675</v>
      </c>
      <c r="CR70" s="2">
        <f t="shared" si="55"/>
        <v>75.965000000000003</v>
      </c>
      <c r="CS70" s="2">
        <f t="shared" si="55"/>
        <v>76.928333333333327</v>
      </c>
      <c r="CT70" s="2">
        <f t="shared" si="55"/>
        <v>73.965000000000003</v>
      </c>
      <c r="CU70" s="2">
        <f t="shared" si="55"/>
        <v>81.460000000000008</v>
      </c>
      <c r="CV70" s="2">
        <f t="shared" si="55"/>
        <v>75.406666666666666</v>
      </c>
      <c r="CW70" s="2">
        <f t="shared" si="55"/>
        <v>76.803333333333342</v>
      </c>
      <c r="CX70" s="2">
        <f t="shared" si="0"/>
        <v>77.160883333333345</v>
      </c>
    </row>
    <row r="71" spans="1:102" x14ac:dyDescent="0.2">
      <c r="A71" s="3" t="s">
        <v>77</v>
      </c>
      <c r="B71" s="2">
        <f t="shared" si="45"/>
        <v>78.293333333333322</v>
      </c>
      <c r="C71" s="2">
        <f t="shared" ref="C71:BN71" si="56">AVERAGE(C52:C53)</f>
        <v>78.696666666666658</v>
      </c>
      <c r="D71" s="2">
        <f t="shared" si="56"/>
        <v>74.99499999999999</v>
      </c>
      <c r="E71" s="2">
        <f t="shared" si="56"/>
        <v>76.526666666666671</v>
      </c>
      <c r="F71" s="2">
        <f t="shared" si="56"/>
        <v>75.344999999999999</v>
      </c>
      <c r="G71" s="2">
        <f t="shared" si="56"/>
        <v>76.245000000000005</v>
      </c>
      <c r="H71" s="2">
        <f t="shared" si="56"/>
        <v>80.193333333333328</v>
      </c>
      <c r="I71" s="2">
        <f t="shared" si="56"/>
        <v>77.143333333333345</v>
      </c>
      <c r="J71" s="2">
        <f t="shared" si="56"/>
        <v>78.526666666666671</v>
      </c>
      <c r="K71" s="2">
        <f t="shared" si="56"/>
        <v>78.426666666666677</v>
      </c>
      <c r="L71" s="2">
        <f t="shared" si="56"/>
        <v>74.884999999999991</v>
      </c>
      <c r="M71" s="2">
        <f t="shared" si="56"/>
        <v>75.953333333333333</v>
      </c>
      <c r="N71" s="2">
        <f t="shared" si="56"/>
        <v>76.739999999999995</v>
      </c>
      <c r="O71" s="2">
        <f t="shared" si="56"/>
        <v>77.623333333333335</v>
      </c>
      <c r="P71" s="2">
        <f t="shared" si="56"/>
        <v>79.474999999999994</v>
      </c>
      <c r="Q71" s="2">
        <f t="shared" si="56"/>
        <v>73.24666666666667</v>
      </c>
      <c r="R71" s="2">
        <f t="shared" si="56"/>
        <v>76.62833333333333</v>
      </c>
      <c r="S71" s="2">
        <f t="shared" si="56"/>
        <v>77.224999999999994</v>
      </c>
      <c r="T71" s="2">
        <f t="shared" si="56"/>
        <v>77.99666666666667</v>
      </c>
      <c r="U71" s="2">
        <f t="shared" si="56"/>
        <v>72.74666666666667</v>
      </c>
      <c r="V71" s="2">
        <f t="shared" si="56"/>
        <v>77.11</v>
      </c>
      <c r="W71" s="2">
        <f t="shared" si="56"/>
        <v>76.228333333333325</v>
      </c>
      <c r="X71" s="2">
        <f t="shared" si="56"/>
        <v>78.513333333333321</v>
      </c>
      <c r="Y71" s="2">
        <f t="shared" si="56"/>
        <v>77.49666666666667</v>
      </c>
      <c r="Z71" s="2">
        <f t="shared" si="56"/>
        <v>77.623333333333335</v>
      </c>
      <c r="AA71" s="2">
        <f t="shared" si="56"/>
        <v>78.338333333333338</v>
      </c>
      <c r="AB71" s="2">
        <f t="shared" si="56"/>
        <v>75.254999999999995</v>
      </c>
      <c r="AC71" s="2">
        <f t="shared" si="56"/>
        <v>78.795000000000016</v>
      </c>
      <c r="AD71" s="2">
        <f t="shared" si="56"/>
        <v>78.058333333333337</v>
      </c>
      <c r="AE71" s="2">
        <f t="shared" si="56"/>
        <v>76.073333333333338</v>
      </c>
      <c r="AF71" s="2">
        <f t="shared" si="56"/>
        <v>80.546666666666667</v>
      </c>
      <c r="AG71" s="2">
        <f t="shared" si="56"/>
        <v>81.569999999999993</v>
      </c>
      <c r="AH71" s="2">
        <f t="shared" si="56"/>
        <v>79.313333333333333</v>
      </c>
      <c r="AI71" s="2">
        <f t="shared" si="56"/>
        <v>76.641666666666652</v>
      </c>
      <c r="AJ71" s="2">
        <f t="shared" si="56"/>
        <v>73.550000000000011</v>
      </c>
      <c r="AK71" s="2">
        <f t="shared" si="56"/>
        <v>79.069999999999993</v>
      </c>
      <c r="AL71" s="2">
        <f t="shared" si="56"/>
        <v>78.42</v>
      </c>
      <c r="AM71" s="2">
        <f t="shared" si="56"/>
        <v>78.040000000000006</v>
      </c>
      <c r="AN71" s="2">
        <f t="shared" si="56"/>
        <v>75.52000000000001</v>
      </c>
      <c r="AO71" s="2">
        <f t="shared" si="56"/>
        <v>74.164999999999992</v>
      </c>
      <c r="AP71" s="2">
        <f t="shared" si="56"/>
        <v>74.506666666666661</v>
      </c>
      <c r="AQ71" s="2">
        <f t="shared" si="56"/>
        <v>77.198333333333338</v>
      </c>
      <c r="AR71" s="2">
        <f t="shared" si="56"/>
        <v>75.36</v>
      </c>
      <c r="AS71" s="2">
        <f t="shared" si="56"/>
        <v>78.161666666666662</v>
      </c>
      <c r="AT71" s="2">
        <f t="shared" si="56"/>
        <v>75.956666666666663</v>
      </c>
      <c r="AU71" s="2">
        <f t="shared" si="56"/>
        <v>76.178333333333342</v>
      </c>
      <c r="AV71" s="2">
        <f t="shared" si="56"/>
        <v>80.281666666666666</v>
      </c>
      <c r="AW71" s="2">
        <f t="shared" si="56"/>
        <v>77.75</v>
      </c>
      <c r="AX71" s="2">
        <f t="shared" si="56"/>
        <v>74.72</v>
      </c>
      <c r="AY71" s="2">
        <f t="shared" si="56"/>
        <v>79.303333333333342</v>
      </c>
      <c r="AZ71" s="2">
        <f t="shared" si="56"/>
        <v>78.338333333333338</v>
      </c>
      <c r="BA71" s="2">
        <f t="shared" si="56"/>
        <v>75.99666666666667</v>
      </c>
      <c r="BB71" s="2">
        <f t="shared" si="56"/>
        <v>75.771666666666675</v>
      </c>
      <c r="BC71" s="2">
        <f t="shared" si="56"/>
        <v>74.95</v>
      </c>
      <c r="BD71" s="2">
        <f t="shared" si="56"/>
        <v>75.02</v>
      </c>
      <c r="BE71" s="2">
        <f t="shared" si="56"/>
        <v>75.653333333333336</v>
      </c>
      <c r="BF71" s="2">
        <f t="shared" si="56"/>
        <v>78.605000000000004</v>
      </c>
      <c r="BG71" s="2">
        <f t="shared" si="56"/>
        <v>78.63666666666667</v>
      </c>
      <c r="BH71" s="2">
        <f t="shared" si="56"/>
        <v>78.953333333333347</v>
      </c>
      <c r="BI71" s="2">
        <f t="shared" si="56"/>
        <v>78.51666666666668</v>
      </c>
      <c r="BJ71" s="2">
        <f t="shared" si="56"/>
        <v>76.974999999999994</v>
      </c>
      <c r="BK71" s="2">
        <f t="shared" si="56"/>
        <v>76.165000000000006</v>
      </c>
      <c r="BL71" s="2">
        <f t="shared" si="56"/>
        <v>77.125</v>
      </c>
      <c r="BM71" s="2">
        <f t="shared" si="56"/>
        <v>74.910000000000011</v>
      </c>
      <c r="BN71" s="2">
        <f t="shared" si="56"/>
        <v>79.935000000000002</v>
      </c>
      <c r="BO71" s="2">
        <f t="shared" ref="BO71:CW71" si="57">AVERAGE(BO52:BO53)</f>
        <v>77.889999999999986</v>
      </c>
      <c r="BP71" s="2">
        <f t="shared" si="57"/>
        <v>78.238333333333344</v>
      </c>
      <c r="BQ71" s="2">
        <f t="shared" si="57"/>
        <v>75.599999999999994</v>
      </c>
      <c r="BR71" s="2">
        <f t="shared" si="57"/>
        <v>74.018333333333345</v>
      </c>
      <c r="BS71" s="2">
        <f t="shared" si="57"/>
        <v>76.254999999999995</v>
      </c>
      <c r="BT71" s="2">
        <f t="shared" si="57"/>
        <v>76.973333333333329</v>
      </c>
      <c r="BU71" s="2">
        <f t="shared" si="57"/>
        <v>80.308333333333337</v>
      </c>
      <c r="BV71" s="2">
        <f t="shared" si="57"/>
        <v>77.114999999999995</v>
      </c>
      <c r="BW71" s="2">
        <f t="shared" si="57"/>
        <v>75.743333333333339</v>
      </c>
      <c r="BX71" s="2">
        <f t="shared" si="57"/>
        <v>77.575000000000003</v>
      </c>
      <c r="BY71" s="2">
        <f t="shared" si="57"/>
        <v>75.25333333333333</v>
      </c>
      <c r="BZ71" s="2">
        <f t="shared" si="57"/>
        <v>78.766666666666666</v>
      </c>
      <c r="CA71" s="2">
        <f t="shared" si="57"/>
        <v>78.460000000000008</v>
      </c>
      <c r="CB71" s="2">
        <f t="shared" si="57"/>
        <v>79.773333333333341</v>
      </c>
      <c r="CC71" s="2">
        <f t="shared" si="57"/>
        <v>76.971666666666664</v>
      </c>
      <c r="CD71" s="2">
        <f t="shared" si="57"/>
        <v>77.568333333333328</v>
      </c>
      <c r="CE71" s="2">
        <f t="shared" si="57"/>
        <v>74.013333333333335</v>
      </c>
      <c r="CF71" s="2">
        <f t="shared" si="57"/>
        <v>76.375</v>
      </c>
      <c r="CG71" s="2">
        <f t="shared" si="57"/>
        <v>78.34</v>
      </c>
      <c r="CH71" s="2">
        <f t="shared" si="57"/>
        <v>75.871666666666655</v>
      </c>
      <c r="CI71" s="2">
        <f t="shared" si="57"/>
        <v>74.294999999999987</v>
      </c>
      <c r="CJ71" s="2">
        <f t="shared" si="57"/>
        <v>76.743333333333339</v>
      </c>
      <c r="CK71" s="2">
        <f t="shared" si="57"/>
        <v>80.046666666666667</v>
      </c>
      <c r="CL71" s="2">
        <f t="shared" si="57"/>
        <v>75.37</v>
      </c>
      <c r="CM71" s="2">
        <f t="shared" si="57"/>
        <v>75.708333333333343</v>
      </c>
      <c r="CN71" s="2">
        <f t="shared" si="57"/>
        <v>78.59</v>
      </c>
      <c r="CO71" s="2">
        <f t="shared" si="57"/>
        <v>79.295000000000002</v>
      </c>
      <c r="CP71" s="2">
        <f t="shared" si="57"/>
        <v>76.298333333333332</v>
      </c>
      <c r="CQ71" s="2">
        <f t="shared" si="57"/>
        <v>78.055000000000007</v>
      </c>
      <c r="CR71" s="2">
        <f t="shared" si="57"/>
        <v>78.685000000000002</v>
      </c>
      <c r="CS71" s="2">
        <f t="shared" si="57"/>
        <v>79.964999999999989</v>
      </c>
      <c r="CT71" s="2">
        <f t="shared" si="57"/>
        <v>74.196666666666658</v>
      </c>
      <c r="CU71" s="2">
        <f t="shared" si="57"/>
        <v>78.591666666666669</v>
      </c>
      <c r="CV71" s="2">
        <f t="shared" si="57"/>
        <v>72.073333333333338</v>
      </c>
      <c r="CW71" s="2">
        <f t="shared" si="57"/>
        <v>75.87166666666667</v>
      </c>
      <c r="CX71" s="2">
        <f t="shared" si="0"/>
        <v>77.071033333333347</v>
      </c>
    </row>
    <row r="72" spans="1:102" x14ac:dyDescent="0.2">
      <c r="A72" s="3" t="s">
        <v>78</v>
      </c>
      <c r="B72" s="2">
        <f t="shared" si="45"/>
        <v>75.281666666666666</v>
      </c>
      <c r="C72" s="2">
        <f t="shared" ref="C72:BN72" si="58">AVERAGE(C53:C54)</f>
        <v>77.331666666666678</v>
      </c>
      <c r="D72" s="2">
        <f t="shared" si="58"/>
        <v>75.929999999999993</v>
      </c>
      <c r="E72" s="2">
        <f t="shared" si="58"/>
        <v>76.09</v>
      </c>
      <c r="F72" s="2">
        <f t="shared" si="58"/>
        <v>73.908333333333331</v>
      </c>
      <c r="G72" s="2">
        <f t="shared" si="58"/>
        <v>74.633333333333326</v>
      </c>
      <c r="H72" s="2">
        <f t="shared" si="58"/>
        <v>79.580000000000013</v>
      </c>
      <c r="I72" s="2">
        <f t="shared" si="58"/>
        <v>75.51666666666668</v>
      </c>
      <c r="J72" s="2">
        <f t="shared" si="58"/>
        <v>81.16</v>
      </c>
      <c r="K72" s="2">
        <f t="shared" si="58"/>
        <v>77.685000000000002</v>
      </c>
      <c r="L72" s="2">
        <f t="shared" si="58"/>
        <v>76.616666666666674</v>
      </c>
      <c r="M72" s="2">
        <f t="shared" si="58"/>
        <v>74.473333333333329</v>
      </c>
      <c r="N72" s="2">
        <f t="shared" si="58"/>
        <v>77.299999999999983</v>
      </c>
      <c r="O72" s="2">
        <f t="shared" si="58"/>
        <v>76.965000000000003</v>
      </c>
      <c r="P72" s="2">
        <f t="shared" si="58"/>
        <v>79.838333333333338</v>
      </c>
      <c r="Q72" s="2">
        <f t="shared" si="58"/>
        <v>76.069999999999993</v>
      </c>
      <c r="R72" s="2">
        <f t="shared" si="58"/>
        <v>74.268333333333331</v>
      </c>
      <c r="S72" s="2">
        <f t="shared" si="58"/>
        <v>78.17</v>
      </c>
      <c r="T72" s="2">
        <f t="shared" si="58"/>
        <v>77.548333333333346</v>
      </c>
      <c r="U72" s="2">
        <f t="shared" si="58"/>
        <v>73.561666666666667</v>
      </c>
      <c r="V72" s="2">
        <f t="shared" si="58"/>
        <v>77.541666666666671</v>
      </c>
      <c r="W72" s="2">
        <f t="shared" si="58"/>
        <v>75.94</v>
      </c>
      <c r="X72" s="2">
        <f t="shared" si="58"/>
        <v>75.946666666666658</v>
      </c>
      <c r="Y72" s="2">
        <f t="shared" si="58"/>
        <v>78.876666666666665</v>
      </c>
      <c r="Z72" s="2">
        <f t="shared" si="58"/>
        <v>78.074999999999989</v>
      </c>
      <c r="AA72" s="2">
        <f t="shared" si="58"/>
        <v>77.504999999999995</v>
      </c>
      <c r="AB72" s="2">
        <f t="shared" si="58"/>
        <v>76.413333333333327</v>
      </c>
      <c r="AC72" s="2">
        <f t="shared" si="58"/>
        <v>77.786666666666676</v>
      </c>
      <c r="AD72" s="2">
        <f t="shared" si="58"/>
        <v>74.893333333333345</v>
      </c>
      <c r="AE72" s="2">
        <f t="shared" si="58"/>
        <v>75.001666666666665</v>
      </c>
      <c r="AF72" s="2">
        <f t="shared" si="58"/>
        <v>77.204999999999998</v>
      </c>
      <c r="AG72" s="2">
        <f t="shared" si="58"/>
        <v>78.62</v>
      </c>
      <c r="AH72" s="2">
        <f t="shared" si="58"/>
        <v>78.653333333333336</v>
      </c>
      <c r="AI72" s="2">
        <f t="shared" si="58"/>
        <v>75.47</v>
      </c>
      <c r="AJ72" s="2">
        <f t="shared" si="58"/>
        <v>76.484999999999999</v>
      </c>
      <c r="AK72" s="2">
        <f t="shared" si="58"/>
        <v>76.891666666666666</v>
      </c>
      <c r="AL72" s="2">
        <f t="shared" si="58"/>
        <v>80.905000000000001</v>
      </c>
      <c r="AM72" s="2">
        <f t="shared" si="58"/>
        <v>76.400000000000006</v>
      </c>
      <c r="AN72" s="2">
        <f t="shared" si="58"/>
        <v>79.271666666666675</v>
      </c>
      <c r="AO72" s="2">
        <f t="shared" si="58"/>
        <v>72.08</v>
      </c>
      <c r="AP72" s="2">
        <f t="shared" si="58"/>
        <v>78.368333333333339</v>
      </c>
      <c r="AQ72" s="2">
        <f t="shared" si="58"/>
        <v>75.605000000000004</v>
      </c>
      <c r="AR72" s="2">
        <f t="shared" si="58"/>
        <v>72.24666666666667</v>
      </c>
      <c r="AS72" s="2">
        <f t="shared" si="58"/>
        <v>79.748333333333335</v>
      </c>
      <c r="AT72" s="2">
        <f t="shared" si="58"/>
        <v>76.704999999999984</v>
      </c>
      <c r="AU72" s="2">
        <f t="shared" si="58"/>
        <v>77.536666666666662</v>
      </c>
      <c r="AV72" s="2">
        <f t="shared" si="58"/>
        <v>79.49666666666667</v>
      </c>
      <c r="AW72" s="2">
        <f t="shared" si="58"/>
        <v>76.24666666666667</v>
      </c>
      <c r="AX72" s="2">
        <f t="shared" si="58"/>
        <v>75.92</v>
      </c>
      <c r="AY72" s="2">
        <f t="shared" si="58"/>
        <v>80.696666666666658</v>
      </c>
      <c r="AZ72" s="2">
        <f t="shared" si="58"/>
        <v>75.434999999999988</v>
      </c>
      <c r="BA72" s="2">
        <f t="shared" si="58"/>
        <v>75.795000000000016</v>
      </c>
      <c r="BB72" s="2">
        <f t="shared" si="58"/>
        <v>73.238333333333344</v>
      </c>
      <c r="BC72" s="2">
        <f t="shared" si="58"/>
        <v>77.556666666666672</v>
      </c>
      <c r="BD72" s="2">
        <f t="shared" si="58"/>
        <v>76.274999999999991</v>
      </c>
      <c r="BE72" s="2">
        <f t="shared" si="58"/>
        <v>75.426666666666662</v>
      </c>
      <c r="BF72" s="2">
        <f t="shared" si="58"/>
        <v>75.221666666666678</v>
      </c>
      <c r="BG72" s="2">
        <f t="shared" si="58"/>
        <v>79.058333333333337</v>
      </c>
      <c r="BH72" s="2">
        <f t="shared" si="58"/>
        <v>77.838333333333338</v>
      </c>
      <c r="BI72" s="2">
        <f t="shared" si="58"/>
        <v>76.876666666666665</v>
      </c>
      <c r="BJ72" s="2">
        <f t="shared" si="58"/>
        <v>78.830000000000013</v>
      </c>
      <c r="BK72" s="2">
        <f t="shared" si="58"/>
        <v>76.408333333333331</v>
      </c>
      <c r="BL72" s="2">
        <f t="shared" si="58"/>
        <v>77.408333333333331</v>
      </c>
      <c r="BM72" s="2">
        <f t="shared" si="58"/>
        <v>79.080000000000013</v>
      </c>
      <c r="BN72" s="2">
        <f t="shared" si="58"/>
        <v>75.988333333333344</v>
      </c>
      <c r="BO72" s="2">
        <f t="shared" ref="BO72:CW72" si="59">AVERAGE(BO53:BO54)</f>
        <v>75.60499999999999</v>
      </c>
      <c r="BP72" s="2">
        <f t="shared" si="59"/>
        <v>76.571666666666673</v>
      </c>
      <c r="BQ72" s="2">
        <f t="shared" si="59"/>
        <v>75.144999999999996</v>
      </c>
      <c r="BR72" s="2">
        <f t="shared" si="59"/>
        <v>77.491666666666674</v>
      </c>
      <c r="BS72" s="2">
        <f t="shared" si="59"/>
        <v>77.004999999999995</v>
      </c>
      <c r="BT72" s="2">
        <f t="shared" si="59"/>
        <v>78.12166666666667</v>
      </c>
      <c r="BU72" s="2">
        <f t="shared" si="59"/>
        <v>81.81</v>
      </c>
      <c r="BV72" s="2">
        <f t="shared" si="59"/>
        <v>74.960000000000008</v>
      </c>
      <c r="BW72" s="2">
        <f t="shared" si="59"/>
        <v>74.63</v>
      </c>
      <c r="BX72" s="2">
        <f t="shared" si="59"/>
        <v>78.141666666666666</v>
      </c>
      <c r="BY72" s="2">
        <f t="shared" si="59"/>
        <v>77.393333333333331</v>
      </c>
      <c r="BZ72" s="2">
        <f t="shared" si="59"/>
        <v>79.681666666666672</v>
      </c>
      <c r="CA72" s="2">
        <f t="shared" si="59"/>
        <v>79.086666666666673</v>
      </c>
      <c r="CB72" s="2">
        <f t="shared" si="59"/>
        <v>80.493333333333339</v>
      </c>
      <c r="CC72" s="2">
        <f t="shared" si="59"/>
        <v>79.561666666666667</v>
      </c>
      <c r="CD72" s="2">
        <f t="shared" si="59"/>
        <v>75.906666666666666</v>
      </c>
      <c r="CE72" s="2">
        <f t="shared" si="59"/>
        <v>75.506666666666661</v>
      </c>
      <c r="CF72" s="2">
        <f t="shared" si="59"/>
        <v>75.166666666666657</v>
      </c>
      <c r="CG72" s="2">
        <f t="shared" si="59"/>
        <v>77.594999999999999</v>
      </c>
      <c r="CH72" s="2">
        <f t="shared" si="59"/>
        <v>77.109999999999985</v>
      </c>
      <c r="CI72" s="2">
        <f t="shared" si="59"/>
        <v>75.741666666666674</v>
      </c>
      <c r="CJ72" s="2">
        <f t="shared" si="59"/>
        <v>78.283333333333331</v>
      </c>
      <c r="CK72" s="2">
        <f t="shared" si="59"/>
        <v>79.043333333333337</v>
      </c>
      <c r="CL72" s="2">
        <f t="shared" si="59"/>
        <v>72.851666666666674</v>
      </c>
      <c r="CM72" s="2">
        <f t="shared" si="59"/>
        <v>78.69</v>
      </c>
      <c r="CN72" s="2">
        <f t="shared" si="59"/>
        <v>76.86333333333333</v>
      </c>
      <c r="CO72" s="2">
        <f t="shared" si="59"/>
        <v>77.618333333333339</v>
      </c>
      <c r="CP72" s="2">
        <f t="shared" si="59"/>
        <v>75.643333333333345</v>
      </c>
      <c r="CQ72" s="2">
        <f t="shared" si="59"/>
        <v>75.164999999999992</v>
      </c>
      <c r="CR72" s="2">
        <f t="shared" si="59"/>
        <v>78.468333333333334</v>
      </c>
      <c r="CS72" s="2">
        <f t="shared" si="59"/>
        <v>80.919999999999987</v>
      </c>
      <c r="CT72" s="2">
        <f t="shared" si="59"/>
        <v>77.09</v>
      </c>
      <c r="CU72" s="2">
        <f t="shared" si="59"/>
        <v>78.893333333333345</v>
      </c>
      <c r="CV72" s="2">
        <f t="shared" si="59"/>
        <v>75.923333333333332</v>
      </c>
      <c r="CW72" s="2">
        <f t="shared" si="59"/>
        <v>75.751666666666665</v>
      </c>
      <c r="CX72" s="2">
        <f t="shared" si="0"/>
        <v>76.988266666666689</v>
      </c>
    </row>
    <row r="73" spans="1:102" x14ac:dyDescent="0.2">
      <c r="A73" s="3" t="s">
        <v>79</v>
      </c>
      <c r="B73" s="2">
        <f t="shared" si="45"/>
        <v>77.615000000000009</v>
      </c>
      <c r="C73" s="2">
        <f t="shared" ref="C73:BN73" si="60">AVERAGE(C54:C55)</f>
        <v>75.116666666666674</v>
      </c>
      <c r="D73" s="2">
        <f t="shared" si="60"/>
        <v>76.105000000000004</v>
      </c>
      <c r="E73" s="2">
        <f t="shared" si="60"/>
        <v>76.486666666666665</v>
      </c>
      <c r="F73" s="2">
        <f t="shared" si="60"/>
        <v>73.271666666666675</v>
      </c>
      <c r="G73" s="2">
        <f t="shared" si="60"/>
        <v>77.14</v>
      </c>
      <c r="H73" s="2">
        <f t="shared" si="60"/>
        <v>80.108333333333348</v>
      </c>
      <c r="I73" s="2">
        <f t="shared" si="60"/>
        <v>76.25333333333333</v>
      </c>
      <c r="J73" s="2">
        <f t="shared" si="60"/>
        <v>80.318333333333328</v>
      </c>
      <c r="K73" s="2">
        <f t="shared" si="60"/>
        <v>79.449999999999989</v>
      </c>
      <c r="L73" s="2">
        <f t="shared" si="60"/>
        <v>77.31</v>
      </c>
      <c r="M73" s="2">
        <f t="shared" si="60"/>
        <v>74.033333333333331</v>
      </c>
      <c r="N73" s="2">
        <f t="shared" si="60"/>
        <v>77.449999999999989</v>
      </c>
      <c r="O73" s="2">
        <f t="shared" si="60"/>
        <v>76.861666666666679</v>
      </c>
      <c r="P73" s="2">
        <f t="shared" si="60"/>
        <v>80.146666666666675</v>
      </c>
      <c r="Q73" s="2">
        <f t="shared" si="60"/>
        <v>74.694999999999993</v>
      </c>
      <c r="R73" s="2">
        <f t="shared" si="60"/>
        <v>76.361666666666679</v>
      </c>
      <c r="S73" s="2">
        <f t="shared" si="60"/>
        <v>77.801666666666662</v>
      </c>
      <c r="T73" s="2">
        <f t="shared" si="60"/>
        <v>75.87</v>
      </c>
      <c r="U73" s="2">
        <f t="shared" si="60"/>
        <v>77.131666666666661</v>
      </c>
      <c r="V73" s="2">
        <f t="shared" si="60"/>
        <v>74.063333333333333</v>
      </c>
      <c r="W73" s="2">
        <f t="shared" si="60"/>
        <v>77.678333333333327</v>
      </c>
      <c r="X73" s="2">
        <f t="shared" si="60"/>
        <v>76.11</v>
      </c>
      <c r="Y73" s="2">
        <f t="shared" si="60"/>
        <v>79.265000000000015</v>
      </c>
      <c r="Z73" s="2">
        <f t="shared" si="60"/>
        <v>76.636666666666656</v>
      </c>
      <c r="AA73" s="2">
        <f t="shared" si="60"/>
        <v>76.806666666666658</v>
      </c>
      <c r="AB73" s="2">
        <f t="shared" si="60"/>
        <v>78.084999999999994</v>
      </c>
      <c r="AC73" s="2">
        <f t="shared" si="60"/>
        <v>78.740000000000009</v>
      </c>
      <c r="AD73" s="2">
        <f t="shared" si="60"/>
        <v>73.603333333333325</v>
      </c>
      <c r="AE73" s="2">
        <f t="shared" si="60"/>
        <v>75.318333333333328</v>
      </c>
      <c r="AF73" s="2">
        <f t="shared" si="60"/>
        <v>76.23833333333333</v>
      </c>
      <c r="AG73" s="2">
        <f t="shared" si="60"/>
        <v>78.156666666666666</v>
      </c>
      <c r="AH73" s="2">
        <f t="shared" si="60"/>
        <v>76.360000000000014</v>
      </c>
      <c r="AI73" s="2">
        <f t="shared" si="60"/>
        <v>77.288333333333327</v>
      </c>
      <c r="AJ73" s="2">
        <f t="shared" si="60"/>
        <v>78.260000000000005</v>
      </c>
      <c r="AK73" s="2">
        <f t="shared" si="60"/>
        <v>74.88666666666667</v>
      </c>
      <c r="AL73" s="2">
        <f t="shared" si="60"/>
        <v>80.381666666666661</v>
      </c>
      <c r="AM73" s="2">
        <f t="shared" si="60"/>
        <v>75.564999999999998</v>
      </c>
      <c r="AN73" s="2">
        <f t="shared" si="60"/>
        <v>78.344999999999999</v>
      </c>
      <c r="AO73" s="2">
        <f t="shared" si="60"/>
        <v>73.393333333333331</v>
      </c>
      <c r="AP73" s="2">
        <f t="shared" si="60"/>
        <v>79.546666666666667</v>
      </c>
      <c r="AQ73" s="2">
        <f t="shared" si="60"/>
        <v>75.710000000000008</v>
      </c>
      <c r="AR73" s="2">
        <f t="shared" si="60"/>
        <v>73.765000000000001</v>
      </c>
      <c r="AS73" s="2">
        <f t="shared" si="60"/>
        <v>79.566666666666663</v>
      </c>
      <c r="AT73" s="2">
        <f t="shared" si="60"/>
        <v>76.651666666666657</v>
      </c>
      <c r="AU73" s="2">
        <f t="shared" si="60"/>
        <v>78.203333333333333</v>
      </c>
      <c r="AV73" s="2">
        <f t="shared" si="60"/>
        <v>78.055000000000007</v>
      </c>
      <c r="AW73" s="2">
        <f t="shared" si="60"/>
        <v>76.771666666666675</v>
      </c>
      <c r="AX73" s="2">
        <f t="shared" si="60"/>
        <v>80.381666666666661</v>
      </c>
      <c r="AY73" s="2">
        <f t="shared" si="60"/>
        <v>78.046666666666667</v>
      </c>
      <c r="AZ73" s="2">
        <f t="shared" si="60"/>
        <v>77.556666666666658</v>
      </c>
      <c r="BA73" s="2">
        <f t="shared" si="60"/>
        <v>76.01166666666667</v>
      </c>
      <c r="BB73" s="2">
        <f t="shared" si="60"/>
        <v>73.316666666666663</v>
      </c>
      <c r="BC73" s="2">
        <f t="shared" si="60"/>
        <v>78.830000000000013</v>
      </c>
      <c r="BD73" s="2">
        <f t="shared" si="60"/>
        <v>76.773333333333326</v>
      </c>
      <c r="BE73" s="2">
        <f t="shared" si="60"/>
        <v>75.633333333333326</v>
      </c>
      <c r="BF73" s="2">
        <f t="shared" si="60"/>
        <v>73.998333333333335</v>
      </c>
      <c r="BG73" s="2">
        <f t="shared" si="60"/>
        <v>81.02</v>
      </c>
      <c r="BH73" s="2">
        <f t="shared" si="60"/>
        <v>79.601666666666659</v>
      </c>
      <c r="BI73" s="2">
        <f t="shared" si="60"/>
        <v>77.743333333333339</v>
      </c>
      <c r="BJ73" s="2">
        <f t="shared" si="60"/>
        <v>81.523333333333341</v>
      </c>
      <c r="BK73" s="2">
        <f t="shared" si="60"/>
        <v>76.12833333333333</v>
      </c>
      <c r="BL73" s="2">
        <f t="shared" si="60"/>
        <v>75.461666666666673</v>
      </c>
      <c r="BM73" s="2">
        <f t="shared" si="60"/>
        <v>80.819999999999993</v>
      </c>
      <c r="BN73" s="2">
        <f t="shared" si="60"/>
        <v>74.064999999999998</v>
      </c>
      <c r="BO73" s="2">
        <f t="shared" ref="BO73:CW73" si="61">AVERAGE(BO54:BO55)</f>
        <v>75.701666666666654</v>
      </c>
      <c r="BP73" s="2">
        <f t="shared" si="61"/>
        <v>80.885000000000005</v>
      </c>
      <c r="BQ73" s="2">
        <f t="shared" si="61"/>
        <v>76.513333333333321</v>
      </c>
      <c r="BR73" s="2">
        <f t="shared" si="61"/>
        <v>79.083333333333343</v>
      </c>
      <c r="BS73" s="2">
        <f t="shared" si="61"/>
        <v>75.463333333333338</v>
      </c>
      <c r="BT73" s="2">
        <f t="shared" si="61"/>
        <v>78.914999999999992</v>
      </c>
      <c r="BU73" s="2">
        <f t="shared" si="61"/>
        <v>80.72999999999999</v>
      </c>
      <c r="BV73" s="2">
        <f t="shared" si="61"/>
        <v>74.75333333333333</v>
      </c>
      <c r="BW73" s="2">
        <f t="shared" si="61"/>
        <v>75.163333333333327</v>
      </c>
      <c r="BX73" s="2">
        <f t="shared" si="61"/>
        <v>77.424999999999997</v>
      </c>
      <c r="BY73" s="2">
        <f t="shared" si="61"/>
        <v>79.10499999999999</v>
      </c>
      <c r="BZ73" s="2">
        <f t="shared" si="61"/>
        <v>75.453333333333347</v>
      </c>
      <c r="CA73" s="2">
        <f t="shared" si="61"/>
        <v>77.333333333333329</v>
      </c>
      <c r="CB73" s="2">
        <f t="shared" si="61"/>
        <v>80.516666666666666</v>
      </c>
      <c r="CC73" s="2">
        <f t="shared" si="61"/>
        <v>80.67</v>
      </c>
      <c r="CD73" s="2">
        <f t="shared" si="61"/>
        <v>76.703333333333333</v>
      </c>
      <c r="CE73" s="2">
        <f t="shared" si="61"/>
        <v>76.856666666666655</v>
      </c>
      <c r="CF73" s="2">
        <f t="shared" si="61"/>
        <v>75.245000000000005</v>
      </c>
      <c r="CG73" s="2">
        <f t="shared" si="61"/>
        <v>78.884999999999991</v>
      </c>
      <c r="CH73" s="2">
        <f t="shared" si="61"/>
        <v>79.131666666666661</v>
      </c>
      <c r="CI73" s="2">
        <f t="shared" si="61"/>
        <v>77.11333333333333</v>
      </c>
      <c r="CJ73" s="2">
        <f t="shared" si="61"/>
        <v>79.716666666666669</v>
      </c>
      <c r="CK73" s="2">
        <f t="shared" si="61"/>
        <v>76.318333333333342</v>
      </c>
      <c r="CL73" s="2">
        <f t="shared" si="61"/>
        <v>75.27000000000001</v>
      </c>
      <c r="CM73" s="2">
        <f t="shared" si="61"/>
        <v>81.394999999999996</v>
      </c>
      <c r="CN73" s="2">
        <f t="shared" si="61"/>
        <v>77.884999999999991</v>
      </c>
      <c r="CO73" s="2">
        <f t="shared" si="61"/>
        <v>77.210000000000008</v>
      </c>
      <c r="CP73" s="2">
        <f t="shared" si="61"/>
        <v>76.099999999999994</v>
      </c>
      <c r="CQ73" s="2">
        <f t="shared" si="61"/>
        <v>73.31</v>
      </c>
      <c r="CR73" s="2">
        <f t="shared" si="61"/>
        <v>78.816666666666663</v>
      </c>
      <c r="CS73" s="2">
        <f t="shared" si="61"/>
        <v>81.101666666666659</v>
      </c>
      <c r="CT73" s="2">
        <f t="shared" si="61"/>
        <v>79.591666666666669</v>
      </c>
      <c r="CU73" s="2">
        <f t="shared" si="61"/>
        <v>77.596666666666664</v>
      </c>
      <c r="CV73" s="2">
        <f t="shared" si="61"/>
        <v>78.924999999999997</v>
      </c>
      <c r="CW73" s="2">
        <f t="shared" si="61"/>
        <v>75.518333333333331</v>
      </c>
      <c r="CX73" s="2">
        <f t="shared" si="0"/>
        <v>77.302916666666647</v>
      </c>
    </row>
    <row r="74" spans="1:102" x14ac:dyDescent="0.2">
      <c r="A74" s="3" t="s">
        <v>80</v>
      </c>
      <c r="B74" s="2">
        <f t="shared" si="45"/>
        <v>79.01666666666668</v>
      </c>
      <c r="C74" s="2">
        <f t="shared" ref="C74:BN74" si="62">AVERAGE(C55:C56)</f>
        <v>78.048333333333346</v>
      </c>
      <c r="D74" s="2">
        <f t="shared" si="62"/>
        <v>75.686666666666667</v>
      </c>
      <c r="E74" s="2">
        <f t="shared" si="62"/>
        <v>74.739999999999995</v>
      </c>
      <c r="F74" s="2">
        <f t="shared" si="62"/>
        <v>74.041666666666671</v>
      </c>
      <c r="G74" s="2">
        <f t="shared" si="62"/>
        <v>78.88000000000001</v>
      </c>
      <c r="H74" s="2">
        <f t="shared" si="62"/>
        <v>78.39500000000001</v>
      </c>
      <c r="I74" s="2">
        <f t="shared" si="62"/>
        <v>74.51166666666667</v>
      </c>
      <c r="J74" s="2">
        <f t="shared" si="62"/>
        <v>77.346666666666678</v>
      </c>
      <c r="K74" s="2">
        <f t="shared" si="62"/>
        <v>79.018333333333331</v>
      </c>
      <c r="L74" s="2">
        <f t="shared" si="62"/>
        <v>78.094999999999999</v>
      </c>
      <c r="M74" s="2">
        <f t="shared" si="62"/>
        <v>76.174999999999997</v>
      </c>
      <c r="N74" s="2">
        <f t="shared" si="62"/>
        <v>75.936666666666667</v>
      </c>
      <c r="O74" s="2">
        <f t="shared" si="62"/>
        <v>78.588333333333338</v>
      </c>
      <c r="P74" s="2">
        <f t="shared" si="62"/>
        <v>80.016666666666666</v>
      </c>
      <c r="Q74" s="2">
        <f t="shared" si="62"/>
        <v>73.260000000000005</v>
      </c>
      <c r="R74" s="2">
        <f t="shared" si="62"/>
        <v>77.02000000000001</v>
      </c>
      <c r="S74" s="2">
        <f t="shared" si="62"/>
        <v>76.849999999999994</v>
      </c>
      <c r="T74" s="2">
        <f t="shared" si="62"/>
        <v>74.215000000000003</v>
      </c>
      <c r="U74" s="2">
        <f t="shared" si="62"/>
        <v>77.504999999999995</v>
      </c>
      <c r="V74" s="2">
        <f t="shared" si="62"/>
        <v>73.021666666666675</v>
      </c>
      <c r="W74" s="2">
        <f t="shared" si="62"/>
        <v>76.281666666666666</v>
      </c>
      <c r="X74" s="2">
        <f t="shared" si="62"/>
        <v>77.401666666666671</v>
      </c>
      <c r="Y74" s="2">
        <f t="shared" si="62"/>
        <v>76.075000000000003</v>
      </c>
      <c r="Z74" s="2">
        <f t="shared" si="62"/>
        <v>75.245000000000005</v>
      </c>
      <c r="AA74" s="2">
        <f t="shared" si="62"/>
        <v>78.573333333333323</v>
      </c>
      <c r="AB74" s="2">
        <f t="shared" si="62"/>
        <v>78.526666666666657</v>
      </c>
      <c r="AC74" s="2">
        <f t="shared" si="62"/>
        <v>77.023333333333341</v>
      </c>
      <c r="AD74" s="2">
        <f t="shared" si="62"/>
        <v>75.583333333333314</v>
      </c>
      <c r="AE74" s="2">
        <f t="shared" si="62"/>
        <v>75.626666666666665</v>
      </c>
      <c r="AF74" s="2">
        <f t="shared" si="62"/>
        <v>75.803333333333327</v>
      </c>
      <c r="AG74" s="2">
        <f t="shared" si="62"/>
        <v>79.99666666666667</v>
      </c>
      <c r="AH74" s="2">
        <f t="shared" si="62"/>
        <v>76.413333333333341</v>
      </c>
      <c r="AI74" s="2">
        <f t="shared" si="62"/>
        <v>79.873333333333335</v>
      </c>
      <c r="AJ74" s="2">
        <f t="shared" si="62"/>
        <v>78.49666666666667</v>
      </c>
      <c r="AK74" s="2">
        <f t="shared" si="62"/>
        <v>76.290000000000006</v>
      </c>
      <c r="AL74" s="2">
        <f t="shared" si="62"/>
        <v>76.989999999999995</v>
      </c>
      <c r="AM74" s="2">
        <f t="shared" si="62"/>
        <v>76.396666666666661</v>
      </c>
      <c r="AN74" s="2">
        <f t="shared" si="62"/>
        <v>76.009999999999991</v>
      </c>
      <c r="AO74" s="2">
        <f t="shared" si="62"/>
        <v>79.12833333333333</v>
      </c>
      <c r="AP74" s="2">
        <f t="shared" si="62"/>
        <v>80.021666666666675</v>
      </c>
      <c r="AQ74" s="2">
        <f t="shared" si="62"/>
        <v>76.044999999999987</v>
      </c>
      <c r="AR74" s="2">
        <f t="shared" si="62"/>
        <v>79.210000000000008</v>
      </c>
      <c r="AS74" s="2">
        <f t="shared" si="62"/>
        <v>79.069999999999993</v>
      </c>
      <c r="AT74" s="2">
        <f t="shared" si="62"/>
        <v>74.625</v>
      </c>
      <c r="AU74" s="2">
        <f t="shared" si="62"/>
        <v>79.518333333333345</v>
      </c>
      <c r="AV74" s="2">
        <f t="shared" si="62"/>
        <v>75.521666666666675</v>
      </c>
      <c r="AW74" s="2">
        <f t="shared" si="62"/>
        <v>78.815000000000012</v>
      </c>
      <c r="AX74" s="2">
        <f t="shared" si="62"/>
        <v>79.383333333333326</v>
      </c>
      <c r="AY74" s="2">
        <f t="shared" si="62"/>
        <v>76.585000000000008</v>
      </c>
      <c r="AZ74" s="2">
        <f t="shared" si="62"/>
        <v>78.771666666666661</v>
      </c>
      <c r="BA74" s="2">
        <f t="shared" si="62"/>
        <v>78.224999999999994</v>
      </c>
      <c r="BB74" s="2">
        <f t="shared" si="62"/>
        <v>74.418333333333322</v>
      </c>
      <c r="BC74" s="2">
        <f t="shared" si="62"/>
        <v>78.081666666666678</v>
      </c>
      <c r="BD74" s="2">
        <f t="shared" si="62"/>
        <v>75.5</v>
      </c>
      <c r="BE74" s="2">
        <f t="shared" si="62"/>
        <v>76.788333333333327</v>
      </c>
      <c r="BF74" s="2">
        <f t="shared" si="62"/>
        <v>77.838333333333338</v>
      </c>
      <c r="BG74" s="2">
        <f t="shared" si="62"/>
        <v>79.291666666666657</v>
      </c>
      <c r="BH74" s="2">
        <f t="shared" si="62"/>
        <v>79.14166666666668</v>
      </c>
      <c r="BI74" s="2">
        <f t="shared" si="62"/>
        <v>78.84</v>
      </c>
      <c r="BJ74" s="2">
        <f t="shared" si="62"/>
        <v>80.306666666666672</v>
      </c>
      <c r="BK74" s="2">
        <f t="shared" si="62"/>
        <v>75.855000000000004</v>
      </c>
      <c r="BL74" s="2">
        <f t="shared" si="62"/>
        <v>75.701666666666668</v>
      </c>
      <c r="BM74" s="2">
        <f t="shared" si="62"/>
        <v>78.781666666666666</v>
      </c>
      <c r="BN74" s="2">
        <f t="shared" si="62"/>
        <v>76.816666666666663</v>
      </c>
      <c r="BO74" s="2">
        <f t="shared" ref="BO74:CW74" si="63">AVERAGE(BO55:BO56)</f>
        <v>72.555000000000007</v>
      </c>
      <c r="BP74" s="2">
        <f t="shared" si="63"/>
        <v>79.846666666666678</v>
      </c>
      <c r="BQ74" s="2">
        <f t="shared" si="63"/>
        <v>76.713333333333338</v>
      </c>
      <c r="BR74" s="2">
        <f t="shared" si="63"/>
        <v>78.268333333333345</v>
      </c>
      <c r="BS74" s="2">
        <f t="shared" si="63"/>
        <v>76.831666666666678</v>
      </c>
      <c r="BT74" s="2">
        <f t="shared" si="63"/>
        <v>77.515000000000001</v>
      </c>
      <c r="BU74" s="2">
        <f t="shared" si="63"/>
        <v>77.838333333333338</v>
      </c>
      <c r="BV74" s="2">
        <f t="shared" si="63"/>
        <v>77.391666666666666</v>
      </c>
      <c r="BW74" s="2">
        <f t="shared" si="63"/>
        <v>76.751666666666665</v>
      </c>
      <c r="BX74" s="2">
        <f t="shared" si="63"/>
        <v>76.826666666666668</v>
      </c>
      <c r="BY74" s="2">
        <f t="shared" si="63"/>
        <v>80.05</v>
      </c>
      <c r="BZ74" s="2">
        <f t="shared" si="63"/>
        <v>72.550000000000011</v>
      </c>
      <c r="CA74" s="2">
        <f t="shared" si="63"/>
        <v>77.433333333333337</v>
      </c>
      <c r="CB74" s="2">
        <f t="shared" si="63"/>
        <v>78.196666666666673</v>
      </c>
      <c r="CC74" s="2">
        <f t="shared" si="63"/>
        <v>79.584999999999994</v>
      </c>
      <c r="CD74" s="2">
        <f t="shared" si="63"/>
        <v>76.543333333333337</v>
      </c>
      <c r="CE74" s="2">
        <f t="shared" si="63"/>
        <v>78.573333333333323</v>
      </c>
      <c r="CF74" s="2">
        <f t="shared" si="63"/>
        <v>77.866666666666674</v>
      </c>
      <c r="CG74" s="2">
        <f t="shared" si="63"/>
        <v>77.011666666666656</v>
      </c>
      <c r="CH74" s="2">
        <f t="shared" si="63"/>
        <v>79.534999999999997</v>
      </c>
      <c r="CI74" s="2">
        <f t="shared" si="63"/>
        <v>78.094999999999999</v>
      </c>
      <c r="CJ74" s="2">
        <f t="shared" si="63"/>
        <v>79.25333333333333</v>
      </c>
      <c r="CK74" s="2">
        <f t="shared" si="63"/>
        <v>77.091666666666669</v>
      </c>
      <c r="CL74" s="2">
        <f t="shared" si="63"/>
        <v>77.713333333333338</v>
      </c>
      <c r="CM74" s="2">
        <f t="shared" si="63"/>
        <v>79.848333333333329</v>
      </c>
      <c r="CN74" s="2">
        <f t="shared" si="63"/>
        <v>78.708333333333343</v>
      </c>
      <c r="CO74" s="2">
        <f t="shared" si="63"/>
        <v>74.835000000000008</v>
      </c>
      <c r="CP74" s="2">
        <f t="shared" si="63"/>
        <v>76.873333333333335</v>
      </c>
      <c r="CQ74" s="2">
        <f t="shared" si="63"/>
        <v>74.956666666666678</v>
      </c>
      <c r="CR74" s="2">
        <f t="shared" si="63"/>
        <v>79.76666666666668</v>
      </c>
      <c r="CS74" s="2">
        <f t="shared" si="63"/>
        <v>78.018333333333331</v>
      </c>
      <c r="CT74" s="2">
        <f t="shared" si="63"/>
        <v>79.24666666666667</v>
      </c>
      <c r="CU74" s="2">
        <f t="shared" si="63"/>
        <v>76.686666666666667</v>
      </c>
      <c r="CV74" s="2">
        <f t="shared" si="63"/>
        <v>77.841666666666669</v>
      </c>
      <c r="CW74" s="2">
        <f t="shared" si="63"/>
        <v>76.69</v>
      </c>
      <c r="CX74" s="2">
        <f t="shared" si="0"/>
        <v>77.327649999999991</v>
      </c>
    </row>
    <row r="75" spans="1:102" x14ac:dyDescent="0.2">
      <c r="A75" s="3" t="s">
        <v>81</v>
      </c>
      <c r="B75" s="2">
        <f t="shared" si="45"/>
        <v>76.210000000000008</v>
      </c>
      <c r="C75" s="2">
        <f t="shared" ref="C75:BN75" si="64">AVERAGE(C56:C57)</f>
        <v>79.175000000000011</v>
      </c>
      <c r="D75" s="2">
        <f t="shared" si="64"/>
        <v>75.916666666666657</v>
      </c>
      <c r="E75" s="2">
        <f t="shared" si="64"/>
        <v>76.521666666666661</v>
      </c>
      <c r="F75" s="2">
        <f t="shared" si="64"/>
        <v>75.831666666666678</v>
      </c>
      <c r="G75" s="2">
        <f t="shared" si="64"/>
        <v>75.973333333333329</v>
      </c>
      <c r="H75" s="2">
        <f t="shared" si="64"/>
        <v>78.416666666666657</v>
      </c>
      <c r="I75" s="2">
        <f t="shared" si="64"/>
        <v>75.116666666666674</v>
      </c>
      <c r="J75" s="2">
        <f t="shared" si="64"/>
        <v>78.745000000000005</v>
      </c>
      <c r="K75" s="2">
        <f t="shared" si="64"/>
        <v>78.56</v>
      </c>
      <c r="L75" s="2">
        <f t="shared" si="64"/>
        <v>79.10499999999999</v>
      </c>
      <c r="M75" s="2">
        <f t="shared" si="64"/>
        <v>77.88</v>
      </c>
      <c r="N75" s="2">
        <f t="shared" si="64"/>
        <v>74.819999999999993</v>
      </c>
      <c r="O75" s="2">
        <f t="shared" si="64"/>
        <v>79.723333333333329</v>
      </c>
      <c r="P75" s="2">
        <f t="shared" si="64"/>
        <v>78.598333333333329</v>
      </c>
      <c r="Q75" s="2">
        <f t="shared" si="64"/>
        <v>75.783333333333331</v>
      </c>
      <c r="R75" s="2">
        <f t="shared" si="64"/>
        <v>75.823333333333338</v>
      </c>
      <c r="S75" s="2">
        <f t="shared" si="64"/>
        <v>75.533333333333331</v>
      </c>
      <c r="T75" s="2">
        <f t="shared" si="64"/>
        <v>75.295000000000002</v>
      </c>
      <c r="U75" s="2">
        <f t="shared" si="64"/>
        <v>76.355000000000004</v>
      </c>
      <c r="V75" s="2">
        <f t="shared" si="64"/>
        <v>73.358333333333348</v>
      </c>
      <c r="W75" s="2">
        <f t="shared" si="64"/>
        <v>71.185000000000002</v>
      </c>
      <c r="X75" s="2">
        <f t="shared" si="64"/>
        <v>79.116666666666674</v>
      </c>
      <c r="Y75" s="2">
        <f t="shared" si="64"/>
        <v>73.708333333333343</v>
      </c>
      <c r="Z75" s="2">
        <f t="shared" si="64"/>
        <v>75.928333333333342</v>
      </c>
      <c r="AA75" s="2">
        <f t="shared" si="64"/>
        <v>79.031666666666666</v>
      </c>
      <c r="AB75" s="2">
        <f t="shared" si="64"/>
        <v>79.251666666666665</v>
      </c>
      <c r="AC75" s="2">
        <f t="shared" si="64"/>
        <v>75.353333333333353</v>
      </c>
      <c r="AD75" s="2">
        <f t="shared" si="64"/>
        <v>75.411666666666662</v>
      </c>
      <c r="AE75" s="2">
        <f t="shared" si="64"/>
        <v>74.924999999999983</v>
      </c>
      <c r="AF75" s="2">
        <f t="shared" si="64"/>
        <v>75.783333333333331</v>
      </c>
      <c r="AG75" s="2">
        <f t="shared" si="64"/>
        <v>77.293333333333322</v>
      </c>
      <c r="AH75" s="2">
        <f t="shared" si="64"/>
        <v>75.618333333333339</v>
      </c>
      <c r="AI75" s="2">
        <f t="shared" si="64"/>
        <v>77.704999999999998</v>
      </c>
      <c r="AJ75" s="2">
        <f t="shared" si="64"/>
        <v>78.598333333333329</v>
      </c>
      <c r="AK75" s="2">
        <f t="shared" si="64"/>
        <v>74.490000000000009</v>
      </c>
      <c r="AL75" s="2">
        <f t="shared" si="64"/>
        <v>76.471666666666664</v>
      </c>
      <c r="AM75" s="2">
        <f t="shared" si="64"/>
        <v>77.041666666666657</v>
      </c>
      <c r="AN75" s="2">
        <f t="shared" si="64"/>
        <v>79.259999999999991</v>
      </c>
      <c r="AO75" s="2">
        <f t="shared" si="64"/>
        <v>79.083333333333343</v>
      </c>
      <c r="AP75" s="2">
        <f t="shared" si="64"/>
        <v>78.698333333333323</v>
      </c>
      <c r="AQ75" s="2">
        <f t="shared" si="64"/>
        <v>77.306666666666672</v>
      </c>
      <c r="AR75" s="2">
        <f t="shared" si="64"/>
        <v>78.221666666666664</v>
      </c>
      <c r="AS75" s="2">
        <f t="shared" si="64"/>
        <v>77.288333333333341</v>
      </c>
      <c r="AT75" s="2">
        <f t="shared" si="64"/>
        <v>75.668333333333337</v>
      </c>
      <c r="AU75" s="2">
        <f t="shared" si="64"/>
        <v>78.261666666666656</v>
      </c>
      <c r="AV75" s="2">
        <f t="shared" si="64"/>
        <v>76.195000000000007</v>
      </c>
      <c r="AW75" s="2">
        <f t="shared" si="64"/>
        <v>78.356666666666683</v>
      </c>
      <c r="AX75" s="2">
        <f t="shared" si="64"/>
        <v>78.303333333333327</v>
      </c>
      <c r="AY75" s="2">
        <f t="shared" si="64"/>
        <v>79.76666666666668</v>
      </c>
      <c r="AZ75" s="2">
        <f t="shared" si="64"/>
        <v>76.37166666666667</v>
      </c>
      <c r="BA75" s="2">
        <f t="shared" si="64"/>
        <v>76.963333333333338</v>
      </c>
      <c r="BB75" s="2">
        <f t="shared" si="64"/>
        <v>76.748333333333335</v>
      </c>
      <c r="BC75" s="2">
        <f t="shared" si="64"/>
        <v>78.016666666666666</v>
      </c>
      <c r="BD75" s="2">
        <f t="shared" si="64"/>
        <v>76.588333333333338</v>
      </c>
      <c r="BE75" s="2">
        <f t="shared" si="64"/>
        <v>76.676666666666662</v>
      </c>
      <c r="BF75" s="2">
        <f t="shared" si="64"/>
        <v>79.883333333333326</v>
      </c>
      <c r="BG75" s="2">
        <f t="shared" si="64"/>
        <v>77.371666666666655</v>
      </c>
      <c r="BH75" s="2">
        <f t="shared" si="64"/>
        <v>78.021666666666675</v>
      </c>
      <c r="BI75" s="2">
        <f t="shared" si="64"/>
        <v>76.721666666666664</v>
      </c>
      <c r="BJ75" s="2">
        <f t="shared" si="64"/>
        <v>78.201666666666668</v>
      </c>
      <c r="BK75" s="2">
        <f t="shared" si="64"/>
        <v>75.99666666666667</v>
      </c>
      <c r="BL75" s="2">
        <f t="shared" si="64"/>
        <v>74.931666666666672</v>
      </c>
      <c r="BM75" s="2">
        <f t="shared" si="64"/>
        <v>78.296666666666667</v>
      </c>
      <c r="BN75" s="2">
        <f t="shared" si="64"/>
        <v>79.866666666666674</v>
      </c>
      <c r="BO75" s="2">
        <f t="shared" ref="BO75:CW75" si="65">AVERAGE(BO56:BO57)</f>
        <v>76.771666666666675</v>
      </c>
      <c r="BP75" s="2">
        <f t="shared" si="65"/>
        <v>74.640000000000015</v>
      </c>
      <c r="BQ75" s="2">
        <f t="shared" si="65"/>
        <v>75.516666666666666</v>
      </c>
      <c r="BR75" s="2">
        <f t="shared" si="65"/>
        <v>78.268333333333345</v>
      </c>
      <c r="BS75" s="2">
        <f t="shared" si="65"/>
        <v>79.348333333333329</v>
      </c>
      <c r="BT75" s="2">
        <f t="shared" si="65"/>
        <v>74.835000000000008</v>
      </c>
      <c r="BU75" s="2">
        <f t="shared" si="65"/>
        <v>76.99666666666667</v>
      </c>
      <c r="BV75" s="2">
        <f t="shared" si="65"/>
        <v>76.984999999999999</v>
      </c>
      <c r="BW75" s="2">
        <f t="shared" si="65"/>
        <v>75.023333333333326</v>
      </c>
      <c r="BX75" s="2">
        <f t="shared" si="65"/>
        <v>76.806666666666672</v>
      </c>
      <c r="BY75" s="2">
        <f t="shared" si="65"/>
        <v>79.553333333333327</v>
      </c>
      <c r="BZ75" s="2">
        <f t="shared" si="65"/>
        <v>75.605000000000004</v>
      </c>
      <c r="CA75" s="2">
        <f t="shared" si="65"/>
        <v>77.448333333333323</v>
      </c>
      <c r="CB75" s="2">
        <f t="shared" si="65"/>
        <v>77.586666666666673</v>
      </c>
      <c r="CC75" s="2">
        <f t="shared" si="65"/>
        <v>78.85499999999999</v>
      </c>
      <c r="CD75" s="2">
        <f t="shared" si="65"/>
        <v>74.861666666666679</v>
      </c>
      <c r="CE75" s="2">
        <f t="shared" si="65"/>
        <v>78.698333333333338</v>
      </c>
      <c r="CF75" s="2">
        <f t="shared" si="65"/>
        <v>77.141666666666652</v>
      </c>
      <c r="CG75" s="2">
        <f t="shared" si="65"/>
        <v>75.555000000000007</v>
      </c>
      <c r="CH75" s="2">
        <f t="shared" si="65"/>
        <v>79.453333333333333</v>
      </c>
      <c r="CI75" s="2">
        <f t="shared" si="65"/>
        <v>80.05</v>
      </c>
      <c r="CJ75" s="2">
        <f t="shared" si="65"/>
        <v>78.209999999999994</v>
      </c>
      <c r="CK75" s="2">
        <f t="shared" si="65"/>
        <v>77.576666666666668</v>
      </c>
      <c r="CL75" s="2">
        <f t="shared" si="65"/>
        <v>77.224999999999994</v>
      </c>
      <c r="CM75" s="2">
        <f t="shared" si="65"/>
        <v>77.286666666666662</v>
      </c>
      <c r="CN75" s="2">
        <f t="shared" si="65"/>
        <v>78.203333333333347</v>
      </c>
      <c r="CO75" s="2">
        <f t="shared" si="65"/>
        <v>74.585000000000008</v>
      </c>
      <c r="CP75" s="2">
        <f t="shared" si="65"/>
        <v>76.988333333333344</v>
      </c>
      <c r="CQ75" s="2">
        <f t="shared" si="65"/>
        <v>78.284999999999997</v>
      </c>
      <c r="CR75" s="2">
        <f t="shared" si="65"/>
        <v>79.765000000000015</v>
      </c>
      <c r="CS75" s="2">
        <f t="shared" si="65"/>
        <v>76.131666666666661</v>
      </c>
      <c r="CT75" s="2">
        <f t="shared" si="65"/>
        <v>77.426666666666662</v>
      </c>
      <c r="CU75" s="2">
        <f t="shared" si="65"/>
        <v>78.118333333333339</v>
      </c>
      <c r="CV75" s="2">
        <f t="shared" si="65"/>
        <v>75.435000000000002</v>
      </c>
      <c r="CW75" s="2">
        <f t="shared" si="65"/>
        <v>74.55</v>
      </c>
      <c r="CX75" s="2">
        <f t="shared" ref="CX75:CX77" si="66">AVERAGE(B75:CW75)</f>
        <v>77.065083333333362</v>
      </c>
    </row>
    <row r="76" spans="1:102" x14ac:dyDescent="0.2">
      <c r="A76" s="3" t="s">
        <v>82</v>
      </c>
      <c r="B76" s="2">
        <f t="shared" si="45"/>
        <v>73.313333333333333</v>
      </c>
      <c r="C76" s="2">
        <f t="shared" ref="C76:BN76" si="67">AVERAGE(C57:C58)</f>
        <v>78.7</v>
      </c>
      <c r="D76" s="2">
        <f t="shared" si="67"/>
        <v>74.794999999999987</v>
      </c>
      <c r="E76" s="2">
        <f t="shared" si="67"/>
        <v>76.211666666666659</v>
      </c>
      <c r="F76" s="2">
        <f t="shared" si="67"/>
        <v>78.881666666666661</v>
      </c>
      <c r="G76" s="2">
        <f t="shared" si="67"/>
        <v>74.106666666666655</v>
      </c>
      <c r="H76" s="2">
        <f t="shared" si="67"/>
        <v>80.076666666666654</v>
      </c>
      <c r="I76" s="2">
        <f t="shared" si="67"/>
        <v>78.224999999999994</v>
      </c>
      <c r="J76" s="2">
        <f t="shared" si="67"/>
        <v>75.794999999999987</v>
      </c>
      <c r="K76" s="2">
        <f t="shared" si="67"/>
        <v>77.711666666666673</v>
      </c>
      <c r="L76" s="2">
        <f t="shared" si="67"/>
        <v>75.408333333333331</v>
      </c>
      <c r="M76" s="2">
        <f t="shared" si="67"/>
        <v>77.73833333333333</v>
      </c>
      <c r="N76" s="2">
        <f t="shared" si="67"/>
        <v>76.641666666666666</v>
      </c>
      <c r="O76" s="2">
        <f t="shared" si="67"/>
        <v>76.303333333333342</v>
      </c>
      <c r="P76" s="2">
        <f t="shared" si="67"/>
        <v>77.011666666666656</v>
      </c>
      <c r="Q76" s="2">
        <f t="shared" si="67"/>
        <v>79.56</v>
      </c>
      <c r="R76" s="2">
        <f t="shared" si="67"/>
        <v>73.671666666666667</v>
      </c>
      <c r="S76" s="2">
        <f t="shared" si="67"/>
        <v>77.174999999999983</v>
      </c>
      <c r="T76" s="2">
        <f t="shared" si="67"/>
        <v>75.571666666666658</v>
      </c>
      <c r="U76" s="2">
        <f t="shared" si="67"/>
        <v>79.776666666666671</v>
      </c>
      <c r="V76" s="2">
        <f t="shared" si="67"/>
        <v>72.75833333333334</v>
      </c>
      <c r="W76" s="2">
        <f t="shared" si="67"/>
        <v>72.281666666666666</v>
      </c>
      <c r="X76" s="2">
        <f t="shared" si="67"/>
        <v>80.385000000000019</v>
      </c>
      <c r="Y76" s="2">
        <f t="shared" si="67"/>
        <v>76.085000000000008</v>
      </c>
      <c r="Z76" s="2">
        <f t="shared" si="67"/>
        <v>76.62833333333333</v>
      </c>
      <c r="AA76" s="2">
        <f t="shared" si="67"/>
        <v>78.97999999999999</v>
      </c>
      <c r="AB76" s="2">
        <f t="shared" si="67"/>
        <v>77.776666666666671</v>
      </c>
      <c r="AC76" s="2">
        <f t="shared" si="67"/>
        <v>76.706666666666678</v>
      </c>
      <c r="AD76" s="2">
        <f t="shared" si="67"/>
        <v>76.515000000000001</v>
      </c>
      <c r="AE76" s="2">
        <f t="shared" si="67"/>
        <v>73.941666666666663</v>
      </c>
      <c r="AF76" s="2">
        <f t="shared" si="67"/>
        <v>78.266666666666666</v>
      </c>
      <c r="AG76" s="2">
        <f t="shared" si="67"/>
        <v>75.569999999999993</v>
      </c>
      <c r="AH76" s="2">
        <f t="shared" si="67"/>
        <v>74.971666666666664</v>
      </c>
      <c r="AI76" s="2">
        <f t="shared" si="67"/>
        <v>76.19</v>
      </c>
      <c r="AJ76" s="2">
        <f t="shared" si="67"/>
        <v>79.581666666666663</v>
      </c>
      <c r="AK76" s="2">
        <f t="shared" si="67"/>
        <v>71.031666666666666</v>
      </c>
      <c r="AL76" s="2">
        <f t="shared" si="67"/>
        <v>79.399999999999991</v>
      </c>
      <c r="AM76" s="2">
        <f t="shared" si="67"/>
        <v>76.164999999999992</v>
      </c>
      <c r="AN76" s="2">
        <f t="shared" si="67"/>
        <v>81.84</v>
      </c>
      <c r="AO76" s="2">
        <f t="shared" si="67"/>
        <v>77.39500000000001</v>
      </c>
      <c r="AP76" s="2">
        <f t="shared" si="67"/>
        <v>79.343333333333334</v>
      </c>
      <c r="AQ76" s="2">
        <f t="shared" si="67"/>
        <v>75.66</v>
      </c>
      <c r="AR76" s="2">
        <f t="shared" si="67"/>
        <v>74.916666666666657</v>
      </c>
      <c r="AS76" s="2">
        <f t="shared" si="67"/>
        <v>77.703333333333347</v>
      </c>
      <c r="AT76" s="2">
        <f t="shared" si="67"/>
        <v>77.243333333333339</v>
      </c>
      <c r="AU76" s="2">
        <f t="shared" si="67"/>
        <v>78.699999999999989</v>
      </c>
      <c r="AV76" s="2">
        <f t="shared" si="67"/>
        <v>77.63</v>
      </c>
      <c r="AW76" s="2">
        <f t="shared" si="67"/>
        <v>76.933333333333337</v>
      </c>
      <c r="AX76" s="2">
        <f t="shared" si="67"/>
        <v>76.691666666666663</v>
      </c>
      <c r="AY76" s="2">
        <f t="shared" si="67"/>
        <v>79.223333333333329</v>
      </c>
      <c r="AZ76" s="2">
        <f t="shared" si="67"/>
        <v>73.69</v>
      </c>
      <c r="BA76" s="2">
        <f t="shared" si="67"/>
        <v>74.375000000000014</v>
      </c>
      <c r="BB76" s="2">
        <f t="shared" si="67"/>
        <v>75.015000000000015</v>
      </c>
      <c r="BC76" s="2">
        <f t="shared" si="67"/>
        <v>76.563333333333333</v>
      </c>
      <c r="BD76" s="2">
        <f t="shared" si="67"/>
        <v>77.664999999999992</v>
      </c>
      <c r="BE76" s="2">
        <f t="shared" si="67"/>
        <v>76.868333333333339</v>
      </c>
      <c r="BF76" s="2">
        <f t="shared" si="67"/>
        <v>77.680000000000007</v>
      </c>
      <c r="BG76" s="2">
        <f t="shared" si="67"/>
        <v>75.898333333333326</v>
      </c>
      <c r="BH76" s="2">
        <f t="shared" si="67"/>
        <v>76.933333333333337</v>
      </c>
      <c r="BI76" s="2">
        <f t="shared" si="67"/>
        <v>74.026666666666671</v>
      </c>
      <c r="BJ76" s="2">
        <f t="shared" si="67"/>
        <v>78.210000000000008</v>
      </c>
      <c r="BK76" s="2">
        <f t="shared" si="67"/>
        <v>77.23</v>
      </c>
      <c r="BL76" s="2">
        <f t="shared" si="67"/>
        <v>74.518333333333345</v>
      </c>
      <c r="BM76" s="2">
        <f t="shared" si="67"/>
        <v>77.806666666666672</v>
      </c>
      <c r="BN76" s="2">
        <f t="shared" si="67"/>
        <v>77.72</v>
      </c>
      <c r="BO76" s="2">
        <f t="shared" ref="BO76:CW76" si="68">AVERAGE(BO57:BO58)</f>
        <v>80.433333333333337</v>
      </c>
      <c r="BP76" s="2">
        <f t="shared" si="68"/>
        <v>74.694999999999993</v>
      </c>
      <c r="BQ76" s="2">
        <f t="shared" si="68"/>
        <v>75.81</v>
      </c>
      <c r="BR76" s="2">
        <f t="shared" si="68"/>
        <v>76.495000000000005</v>
      </c>
      <c r="BS76" s="2">
        <f t="shared" si="68"/>
        <v>79.976666666666659</v>
      </c>
      <c r="BT76" s="2">
        <f t="shared" si="68"/>
        <v>74.794999999999987</v>
      </c>
      <c r="BU76" s="2">
        <f t="shared" si="68"/>
        <v>76.930000000000007</v>
      </c>
      <c r="BV76" s="2">
        <f t="shared" si="68"/>
        <v>77.411666666666662</v>
      </c>
      <c r="BW76" s="2">
        <f t="shared" si="68"/>
        <v>72.234999999999985</v>
      </c>
      <c r="BX76" s="2">
        <f t="shared" si="68"/>
        <v>75.446666666666673</v>
      </c>
      <c r="BY76" s="2">
        <f t="shared" si="68"/>
        <v>76.938333333333333</v>
      </c>
      <c r="BZ76" s="2">
        <f t="shared" si="68"/>
        <v>77.555000000000007</v>
      </c>
      <c r="CA76" s="2">
        <f t="shared" si="68"/>
        <v>75.686666666666667</v>
      </c>
      <c r="CB76" s="2">
        <f t="shared" si="68"/>
        <v>77.72</v>
      </c>
      <c r="CC76" s="2">
        <f t="shared" si="68"/>
        <v>78.614999999999995</v>
      </c>
      <c r="CD76" s="2">
        <f t="shared" si="68"/>
        <v>75.830000000000013</v>
      </c>
      <c r="CE76" s="2">
        <f t="shared" si="68"/>
        <v>74.716666666666669</v>
      </c>
      <c r="CF76" s="2">
        <f t="shared" si="68"/>
        <v>75.829999999999984</v>
      </c>
      <c r="CG76" s="2">
        <f t="shared" si="68"/>
        <v>76.22</v>
      </c>
      <c r="CH76" s="2">
        <f t="shared" si="68"/>
        <v>80.236666666666679</v>
      </c>
      <c r="CI76" s="2">
        <f t="shared" si="68"/>
        <v>81.435000000000002</v>
      </c>
      <c r="CJ76" s="2">
        <f t="shared" si="68"/>
        <v>77.736666666666665</v>
      </c>
      <c r="CK76" s="2">
        <f t="shared" si="68"/>
        <v>77.678333333333342</v>
      </c>
      <c r="CL76" s="2">
        <f t="shared" si="68"/>
        <v>77.148333333333341</v>
      </c>
      <c r="CM76" s="2">
        <f t="shared" si="68"/>
        <v>79.106666666666655</v>
      </c>
      <c r="CN76" s="2">
        <f t="shared" si="68"/>
        <v>77.81</v>
      </c>
      <c r="CO76" s="2">
        <f t="shared" si="68"/>
        <v>76.101666666666659</v>
      </c>
      <c r="CP76" s="2">
        <f t="shared" si="68"/>
        <v>76.288333333333327</v>
      </c>
      <c r="CQ76" s="2">
        <f t="shared" si="68"/>
        <v>79.23</v>
      </c>
      <c r="CR76" s="2">
        <f t="shared" si="68"/>
        <v>78.813333333333333</v>
      </c>
      <c r="CS76" s="2">
        <f t="shared" si="68"/>
        <v>76.62833333333333</v>
      </c>
      <c r="CT76" s="2">
        <f t="shared" si="68"/>
        <v>75.235000000000014</v>
      </c>
      <c r="CU76" s="2">
        <f t="shared" si="68"/>
        <v>79.62166666666667</v>
      </c>
      <c r="CV76" s="2">
        <f t="shared" si="68"/>
        <v>73.670000000000016</v>
      </c>
      <c r="CW76" s="2">
        <f t="shared" si="68"/>
        <v>72.63</v>
      </c>
      <c r="CX76" s="2">
        <f t="shared" si="66"/>
        <v>76.801000000000002</v>
      </c>
    </row>
    <row r="77" spans="1:102" x14ac:dyDescent="0.2">
      <c r="A77" s="3" t="s">
        <v>4</v>
      </c>
      <c r="B77" s="2">
        <f>AVERAGE(B66:B76)</f>
        <v>77.728939393939385</v>
      </c>
      <c r="C77" s="2">
        <f t="shared" ref="C77:BN77" si="69">AVERAGE(C66:C76)</f>
        <v>77.008484848484855</v>
      </c>
      <c r="D77" s="2">
        <f t="shared" si="69"/>
        <v>75.643787878787862</v>
      </c>
      <c r="E77" s="2">
        <f t="shared" si="69"/>
        <v>76.315606060606058</v>
      </c>
      <c r="F77" s="2">
        <f t="shared" si="69"/>
        <v>76.383484848484841</v>
      </c>
      <c r="G77" s="2">
        <f t="shared" si="69"/>
        <v>76.703181818181818</v>
      </c>
      <c r="H77" s="2">
        <f t="shared" si="69"/>
        <v>78.721212121212133</v>
      </c>
      <c r="I77" s="2">
        <f t="shared" si="69"/>
        <v>76.261818181818185</v>
      </c>
      <c r="J77" s="2">
        <f t="shared" si="69"/>
        <v>77.798484848484833</v>
      </c>
      <c r="K77" s="2">
        <f t="shared" si="69"/>
        <v>77.65606060606062</v>
      </c>
      <c r="L77" s="2">
        <f t="shared" si="69"/>
        <v>76.62681818181818</v>
      </c>
      <c r="M77" s="2">
        <f t="shared" si="69"/>
        <v>76.106363636363625</v>
      </c>
      <c r="N77" s="2">
        <f t="shared" si="69"/>
        <v>76.851060606060614</v>
      </c>
      <c r="O77" s="2">
        <f t="shared" si="69"/>
        <v>77.054242424242432</v>
      </c>
      <c r="P77" s="2">
        <f t="shared" si="69"/>
        <v>77.563636363636363</v>
      </c>
      <c r="Q77" s="2">
        <f t="shared" si="69"/>
        <v>76.437575757575729</v>
      </c>
      <c r="R77" s="2">
        <f t="shared" si="69"/>
        <v>77.376969696969695</v>
      </c>
      <c r="S77" s="2">
        <f t="shared" si="69"/>
        <v>77.755303030303011</v>
      </c>
      <c r="T77" s="2">
        <f t="shared" si="69"/>
        <v>75.684696969696972</v>
      </c>
      <c r="U77" s="2">
        <f t="shared" si="69"/>
        <v>76.344696969696969</v>
      </c>
      <c r="V77" s="2">
        <f t="shared" si="69"/>
        <v>75.830454545454543</v>
      </c>
      <c r="W77" s="2">
        <f t="shared" si="69"/>
        <v>75.000151515151515</v>
      </c>
      <c r="X77" s="2">
        <f t="shared" si="69"/>
        <v>77.353181818181824</v>
      </c>
      <c r="Y77" s="2">
        <f t="shared" si="69"/>
        <v>76.978939393939399</v>
      </c>
      <c r="Z77" s="2">
        <f t="shared" si="69"/>
        <v>76.281666666666666</v>
      </c>
      <c r="AA77" s="2">
        <f t="shared" si="69"/>
        <v>78.053484848484842</v>
      </c>
      <c r="AB77" s="2">
        <f t="shared" si="69"/>
        <v>76.591818181818184</v>
      </c>
      <c r="AC77" s="2">
        <f t="shared" si="69"/>
        <v>77.62318181818182</v>
      </c>
      <c r="AD77" s="2">
        <f t="shared" si="69"/>
        <v>76.687575757575758</v>
      </c>
      <c r="AE77" s="2">
        <f t="shared" si="69"/>
        <v>75.333636363636373</v>
      </c>
      <c r="AF77" s="2">
        <f t="shared" si="69"/>
        <v>78.498939393939381</v>
      </c>
      <c r="AG77" s="2">
        <f t="shared" si="69"/>
        <v>77.493636363636369</v>
      </c>
      <c r="AH77" s="2">
        <f t="shared" si="69"/>
        <v>77.914545454545461</v>
      </c>
      <c r="AI77" s="2">
        <f t="shared" si="69"/>
        <v>77.092878787878803</v>
      </c>
      <c r="AJ77" s="2">
        <f t="shared" si="69"/>
        <v>76.228333333333339</v>
      </c>
      <c r="AK77" s="2">
        <f t="shared" si="69"/>
        <v>77.123636363636351</v>
      </c>
      <c r="AL77" s="2">
        <f t="shared" si="69"/>
        <v>78.560757575757577</v>
      </c>
      <c r="AM77" s="2">
        <f t="shared" si="69"/>
        <v>76.777575757575747</v>
      </c>
      <c r="AN77" s="2">
        <f t="shared" si="69"/>
        <v>77.447272727272718</v>
      </c>
      <c r="AO77" s="2">
        <f t="shared" si="69"/>
        <v>76.437121212121212</v>
      </c>
      <c r="AP77" s="2">
        <f t="shared" si="69"/>
        <v>77.822424242424248</v>
      </c>
      <c r="AQ77" s="2">
        <f t="shared" si="69"/>
        <v>76.333636363636359</v>
      </c>
      <c r="AR77" s="2">
        <f t="shared" si="69"/>
        <v>75.992121212121205</v>
      </c>
      <c r="AS77" s="2">
        <f t="shared" si="69"/>
        <v>76.876666666666665</v>
      </c>
      <c r="AT77" s="2">
        <f t="shared" si="69"/>
        <v>76.009999999999991</v>
      </c>
      <c r="AU77" s="2">
        <f t="shared" si="69"/>
        <v>77.567878787878783</v>
      </c>
      <c r="AV77" s="2">
        <f t="shared" si="69"/>
        <v>77.464393939393958</v>
      </c>
      <c r="AW77" s="2">
        <f t="shared" si="69"/>
        <v>77.409696969696967</v>
      </c>
      <c r="AX77" s="2">
        <f t="shared" si="69"/>
        <v>76.99757575757576</v>
      </c>
      <c r="AY77" s="2">
        <f t="shared" si="69"/>
        <v>78.589242424242428</v>
      </c>
      <c r="AZ77" s="2">
        <f t="shared" si="69"/>
        <v>77.74469696969696</v>
      </c>
      <c r="BA77" s="2">
        <f t="shared" si="69"/>
        <v>75.849242424242433</v>
      </c>
      <c r="BB77" s="2">
        <f t="shared" si="69"/>
        <v>75.833939393939403</v>
      </c>
      <c r="BC77" s="2">
        <f t="shared" si="69"/>
        <v>76.911969696969706</v>
      </c>
      <c r="BD77" s="2">
        <f t="shared" si="69"/>
        <v>75.647727272727266</v>
      </c>
      <c r="BE77" s="2">
        <f t="shared" si="69"/>
        <v>75.297272727272713</v>
      </c>
      <c r="BF77" s="2">
        <f t="shared" si="69"/>
        <v>77.476818181818189</v>
      </c>
      <c r="BG77" s="2">
        <f t="shared" si="69"/>
        <v>79.097272727272738</v>
      </c>
      <c r="BH77" s="2">
        <f t="shared" si="69"/>
        <v>78.13606060606061</v>
      </c>
      <c r="BI77" s="2">
        <f t="shared" si="69"/>
        <v>76.75712121212122</v>
      </c>
      <c r="BJ77" s="2">
        <f t="shared" si="69"/>
        <v>78.090303030303048</v>
      </c>
      <c r="BK77" s="2">
        <f t="shared" si="69"/>
        <v>76.571363636363643</v>
      </c>
      <c r="BL77" s="2">
        <f t="shared" si="69"/>
        <v>76.076060606060608</v>
      </c>
      <c r="BM77" s="2">
        <f t="shared" si="69"/>
        <v>78.291515151515156</v>
      </c>
      <c r="BN77" s="2">
        <f t="shared" si="69"/>
        <v>77.38515151515152</v>
      </c>
      <c r="BO77" s="2">
        <f t="shared" ref="BO77:CW77" si="70">AVERAGE(BO66:BO76)</f>
        <v>77.879090909090891</v>
      </c>
      <c r="BP77" s="2">
        <f t="shared" si="70"/>
        <v>78.236363636363649</v>
      </c>
      <c r="BQ77" s="2">
        <f t="shared" si="70"/>
        <v>76.515000000000001</v>
      </c>
      <c r="BR77" s="2">
        <f t="shared" si="70"/>
        <v>76.755303030303025</v>
      </c>
      <c r="BS77" s="2">
        <f t="shared" si="70"/>
        <v>76.553181818181827</v>
      </c>
      <c r="BT77" s="2">
        <f t="shared" si="70"/>
        <v>78.183181818181822</v>
      </c>
      <c r="BU77" s="2">
        <f t="shared" si="70"/>
        <v>78.824393939393943</v>
      </c>
      <c r="BV77" s="2">
        <f t="shared" si="70"/>
        <v>76.197424242424233</v>
      </c>
      <c r="BW77" s="2">
        <f t="shared" si="70"/>
        <v>75.176969696969707</v>
      </c>
      <c r="BX77" s="2">
        <f t="shared" si="70"/>
        <v>75.989696969696979</v>
      </c>
      <c r="BY77" s="2">
        <f t="shared" si="70"/>
        <v>78.057121212121217</v>
      </c>
      <c r="BZ77" s="2">
        <f t="shared" si="70"/>
        <v>76.910757575757586</v>
      </c>
      <c r="CA77" s="2">
        <f t="shared" si="70"/>
        <v>77.240303030303039</v>
      </c>
      <c r="CB77" s="2">
        <f t="shared" si="70"/>
        <v>77.351363636363644</v>
      </c>
      <c r="CC77" s="2">
        <f t="shared" si="70"/>
        <v>77.818484848484857</v>
      </c>
      <c r="CD77" s="2">
        <f t="shared" si="70"/>
        <v>76.269545454545465</v>
      </c>
      <c r="CE77" s="2">
        <f t="shared" si="70"/>
        <v>76.593484848484863</v>
      </c>
      <c r="CF77" s="2">
        <f t="shared" si="70"/>
        <v>75.506666666666661</v>
      </c>
      <c r="CG77" s="2">
        <f t="shared" si="70"/>
        <v>77.919545454545457</v>
      </c>
      <c r="CH77" s="2">
        <f t="shared" si="70"/>
        <v>77.038484848484842</v>
      </c>
      <c r="CI77" s="2">
        <f t="shared" si="70"/>
        <v>77.192121212121208</v>
      </c>
      <c r="CJ77" s="2">
        <f t="shared" si="70"/>
        <v>77.706666666666678</v>
      </c>
      <c r="CK77" s="2">
        <f t="shared" si="70"/>
        <v>77.014545454545456</v>
      </c>
      <c r="CL77" s="2">
        <f t="shared" si="70"/>
        <v>77.041969696969701</v>
      </c>
      <c r="CM77" s="2">
        <f t="shared" si="70"/>
        <v>76.372878787878804</v>
      </c>
      <c r="CN77" s="2">
        <f t="shared" si="70"/>
        <v>78.272424242424236</v>
      </c>
      <c r="CO77" s="2">
        <f t="shared" si="70"/>
        <v>75.884090909090915</v>
      </c>
      <c r="CP77" s="2">
        <f t="shared" si="70"/>
        <v>77.176515151515162</v>
      </c>
      <c r="CQ77" s="2">
        <f t="shared" si="70"/>
        <v>76.284848484848482</v>
      </c>
      <c r="CR77" s="2">
        <f t="shared" si="70"/>
        <v>78.454090909090894</v>
      </c>
      <c r="CS77" s="2">
        <f t="shared" si="70"/>
        <v>77.966515151515154</v>
      </c>
      <c r="CT77" s="2">
        <f t="shared" si="70"/>
        <v>76.393030303030301</v>
      </c>
      <c r="CU77" s="2">
        <f t="shared" si="70"/>
        <v>78.359242424242439</v>
      </c>
      <c r="CV77" s="2">
        <f t="shared" si="70"/>
        <v>76.689242424242423</v>
      </c>
      <c r="CW77" s="2">
        <f t="shared" si="70"/>
        <v>77.044848484848472</v>
      </c>
      <c r="CX77" s="2">
        <f t="shared" si="66"/>
        <v>77.024307575757618</v>
      </c>
    </row>
    <row r="78" spans="1:102" x14ac:dyDescent="0.2">
      <c r="A78" s="3" t="s">
        <v>183</v>
      </c>
      <c r="B78" s="2">
        <f>MAX(B65:B76)</f>
        <v>80.12833333333333</v>
      </c>
      <c r="C78" s="2">
        <f t="shared" ref="C78:BN78" si="71">MAX(C65:C76)</f>
        <v>79.175000000000011</v>
      </c>
      <c r="D78" s="2">
        <f t="shared" si="71"/>
        <v>77.091666666666669</v>
      </c>
      <c r="E78" s="2">
        <f t="shared" si="71"/>
        <v>77.373333333333335</v>
      </c>
      <c r="F78" s="2">
        <f t="shared" si="71"/>
        <v>80.583333333333329</v>
      </c>
      <c r="G78" s="2">
        <f t="shared" si="71"/>
        <v>80.331666666666678</v>
      </c>
      <c r="H78" s="2">
        <f t="shared" si="71"/>
        <v>80.193333333333328</v>
      </c>
      <c r="I78" s="2">
        <f t="shared" si="71"/>
        <v>80.176666666666677</v>
      </c>
      <c r="J78" s="2">
        <f t="shared" si="71"/>
        <v>81.16</v>
      </c>
      <c r="K78" s="2">
        <f t="shared" si="71"/>
        <v>79.64</v>
      </c>
      <c r="L78" s="2">
        <f t="shared" si="71"/>
        <v>79.463333333333324</v>
      </c>
      <c r="M78" s="2">
        <f t="shared" si="71"/>
        <v>78.524999999999991</v>
      </c>
      <c r="N78" s="2">
        <f t="shared" si="71"/>
        <v>80.076666666666668</v>
      </c>
      <c r="O78" s="2">
        <f t="shared" si="71"/>
        <v>79.723333333333329</v>
      </c>
      <c r="P78" s="2">
        <f t="shared" si="71"/>
        <v>80.146666666666675</v>
      </c>
      <c r="Q78" s="2">
        <f t="shared" si="71"/>
        <v>79.56</v>
      </c>
      <c r="R78" s="2">
        <f t="shared" si="71"/>
        <v>81.261666666666656</v>
      </c>
      <c r="S78" s="2">
        <f t="shared" si="71"/>
        <v>80.756666666666661</v>
      </c>
      <c r="T78" s="2">
        <f t="shared" si="71"/>
        <v>77.99666666666667</v>
      </c>
      <c r="U78" s="2">
        <f t="shared" si="71"/>
        <v>79.776666666666671</v>
      </c>
      <c r="V78" s="2">
        <f t="shared" si="71"/>
        <v>80.976666666666674</v>
      </c>
      <c r="W78" s="2">
        <f t="shared" si="71"/>
        <v>77.966666666666669</v>
      </c>
      <c r="X78" s="2">
        <f t="shared" si="71"/>
        <v>80.385000000000019</v>
      </c>
      <c r="Y78" s="2">
        <f t="shared" si="71"/>
        <v>79.385000000000005</v>
      </c>
      <c r="Z78" s="2">
        <f t="shared" si="71"/>
        <v>78.074999999999989</v>
      </c>
      <c r="AA78" s="2">
        <f t="shared" si="71"/>
        <v>80.635000000000005</v>
      </c>
      <c r="AB78" s="2">
        <f t="shared" si="71"/>
        <v>79.251666666666665</v>
      </c>
      <c r="AC78" s="2">
        <f t="shared" si="71"/>
        <v>79.12833333333333</v>
      </c>
      <c r="AD78" s="2">
        <f t="shared" si="71"/>
        <v>81.836666666666673</v>
      </c>
      <c r="AE78" s="2">
        <f t="shared" si="71"/>
        <v>76.34</v>
      </c>
      <c r="AF78" s="2">
        <f t="shared" si="71"/>
        <v>81.596666666666664</v>
      </c>
      <c r="AG78" s="2">
        <f t="shared" si="71"/>
        <v>81.569999999999993</v>
      </c>
      <c r="AH78" s="2">
        <f t="shared" si="71"/>
        <v>81.958333333333343</v>
      </c>
      <c r="AI78" s="2">
        <f t="shared" si="71"/>
        <v>79.873333333333335</v>
      </c>
      <c r="AJ78" s="2">
        <f t="shared" si="71"/>
        <v>79.581666666666663</v>
      </c>
      <c r="AK78" s="2">
        <f t="shared" si="71"/>
        <v>80.964999999999989</v>
      </c>
      <c r="AL78" s="2">
        <f t="shared" si="71"/>
        <v>80.905000000000001</v>
      </c>
      <c r="AM78" s="2">
        <f t="shared" si="71"/>
        <v>79.010000000000005</v>
      </c>
      <c r="AN78" s="2">
        <f t="shared" si="71"/>
        <v>81.84</v>
      </c>
      <c r="AO78" s="2">
        <f t="shared" si="71"/>
        <v>79.12833333333333</v>
      </c>
      <c r="AP78" s="2">
        <f t="shared" si="71"/>
        <v>80.450000000000017</v>
      </c>
      <c r="AQ78" s="2">
        <f t="shared" si="71"/>
        <v>78.018333333333345</v>
      </c>
      <c r="AR78" s="2">
        <f t="shared" si="71"/>
        <v>79.210000000000008</v>
      </c>
      <c r="AS78" s="2">
        <f t="shared" si="71"/>
        <v>79.748333333333335</v>
      </c>
      <c r="AT78" s="2">
        <f t="shared" si="71"/>
        <v>77.316666666666663</v>
      </c>
      <c r="AU78" s="2">
        <f t="shared" si="71"/>
        <v>79.518333333333345</v>
      </c>
      <c r="AV78" s="2">
        <f t="shared" si="71"/>
        <v>81.103333333333325</v>
      </c>
      <c r="AW78" s="2">
        <f t="shared" si="71"/>
        <v>78.815000000000012</v>
      </c>
      <c r="AX78" s="2">
        <f t="shared" si="71"/>
        <v>80.381666666666661</v>
      </c>
      <c r="AY78" s="2">
        <f t="shared" si="71"/>
        <v>80.696666666666658</v>
      </c>
      <c r="AZ78" s="2">
        <f t="shared" si="71"/>
        <v>79.808333333333337</v>
      </c>
      <c r="BA78" s="2">
        <f t="shared" si="71"/>
        <v>78.224999999999994</v>
      </c>
      <c r="BB78" s="2">
        <f t="shared" si="71"/>
        <v>77.995000000000005</v>
      </c>
      <c r="BC78" s="2">
        <f t="shared" si="71"/>
        <v>82.543333333333337</v>
      </c>
      <c r="BD78" s="2">
        <f t="shared" si="71"/>
        <v>77.664999999999992</v>
      </c>
      <c r="BE78" s="2">
        <f t="shared" si="71"/>
        <v>76.868333333333339</v>
      </c>
      <c r="BF78" s="2">
        <f t="shared" si="71"/>
        <v>81.114999999999995</v>
      </c>
      <c r="BG78" s="2">
        <f t="shared" si="71"/>
        <v>81.64500000000001</v>
      </c>
      <c r="BH78" s="2">
        <f t="shared" si="71"/>
        <v>80.306666666666672</v>
      </c>
      <c r="BI78" s="2">
        <f t="shared" si="71"/>
        <v>80.085000000000008</v>
      </c>
      <c r="BJ78" s="2">
        <f t="shared" si="71"/>
        <v>81.523333333333341</v>
      </c>
      <c r="BK78" s="2">
        <f t="shared" si="71"/>
        <v>79.593333333333334</v>
      </c>
      <c r="BL78" s="2">
        <f t="shared" si="71"/>
        <v>79.506666666666661</v>
      </c>
      <c r="BM78" s="2">
        <f t="shared" si="71"/>
        <v>81.233333333333334</v>
      </c>
      <c r="BN78" s="2">
        <f t="shared" si="71"/>
        <v>79.935000000000002</v>
      </c>
      <c r="BO78" s="2">
        <f t="shared" ref="BO78:CX78" si="72">MAX(BO65:BO76)</f>
        <v>80.838333333333338</v>
      </c>
      <c r="BP78" s="2">
        <f t="shared" si="72"/>
        <v>80.885000000000005</v>
      </c>
      <c r="BQ78" s="2">
        <f t="shared" si="72"/>
        <v>79.626666666666665</v>
      </c>
      <c r="BR78" s="2">
        <f t="shared" si="72"/>
        <v>79.083333333333343</v>
      </c>
      <c r="BS78" s="2">
        <f t="shared" si="72"/>
        <v>79.976666666666659</v>
      </c>
      <c r="BT78" s="2">
        <f t="shared" si="72"/>
        <v>82.066666666666663</v>
      </c>
      <c r="BU78" s="2">
        <f t="shared" si="72"/>
        <v>81.81</v>
      </c>
      <c r="BV78" s="2">
        <f t="shared" si="72"/>
        <v>77.411666666666662</v>
      </c>
      <c r="BW78" s="2">
        <f t="shared" si="72"/>
        <v>76.928333333333342</v>
      </c>
      <c r="BX78" s="2">
        <f t="shared" si="72"/>
        <v>79.106666666666669</v>
      </c>
      <c r="BY78" s="2">
        <f t="shared" si="72"/>
        <v>80.05</v>
      </c>
      <c r="BZ78" s="2">
        <f t="shared" si="72"/>
        <v>79.681666666666672</v>
      </c>
      <c r="CA78" s="2">
        <f t="shared" si="72"/>
        <v>79.086666666666673</v>
      </c>
      <c r="CB78" s="2">
        <f t="shared" si="72"/>
        <v>80.516666666666666</v>
      </c>
      <c r="CC78" s="2">
        <f t="shared" si="72"/>
        <v>80.67</v>
      </c>
      <c r="CD78" s="2">
        <f t="shared" si="72"/>
        <v>78.280000000000015</v>
      </c>
      <c r="CE78" s="2">
        <f t="shared" si="72"/>
        <v>79.971666666666664</v>
      </c>
      <c r="CF78" s="2">
        <f t="shared" si="72"/>
        <v>77.866666666666674</v>
      </c>
      <c r="CG78" s="2">
        <f t="shared" si="72"/>
        <v>79.819999999999993</v>
      </c>
      <c r="CH78" s="2">
        <f t="shared" si="72"/>
        <v>80.236666666666679</v>
      </c>
      <c r="CI78" s="2">
        <f t="shared" si="72"/>
        <v>81.435000000000002</v>
      </c>
      <c r="CJ78" s="2">
        <f t="shared" si="72"/>
        <v>79.716666666666669</v>
      </c>
      <c r="CK78" s="2">
        <f t="shared" si="72"/>
        <v>80.046666666666667</v>
      </c>
      <c r="CL78" s="2">
        <f t="shared" si="72"/>
        <v>79.698333333333338</v>
      </c>
      <c r="CM78" s="2">
        <f t="shared" si="72"/>
        <v>81.394999999999996</v>
      </c>
      <c r="CN78" s="2">
        <f t="shared" si="72"/>
        <v>80.726666666666659</v>
      </c>
      <c r="CO78" s="2">
        <f t="shared" si="72"/>
        <v>79.295000000000002</v>
      </c>
      <c r="CP78" s="2">
        <f t="shared" si="72"/>
        <v>80.14</v>
      </c>
      <c r="CQ78" s="2">
        <f t="shared" si="72"/>
        <v>79.23</v>
      </c>
      <c r="CR78" s="2">
        <f t="shared" si="72"/>
        <v>80.17</v>
      </c>
      <c r="CS78" s="2">
        <f t="shared" si="72"/>
        <v>81.101666666666659</v>
      </c>
      <c r="CT78" s="2">
        <f t="shared" si="72"/>
        <v>79.591666666666669</v>
      </c>
      <c r="CU78" s="2">
        <f t="shared" si="72"/>
        <v>81.873333333333335</v>
      </c>
      <c r="CV78" s="2">
        <f t="shared" si="72"/>
        <v>81.298333333333346</v>
      </c>
      <c r="CW78" s="2">
        <f t="shared" si="72"/>
        <v>80.55</v>
      </c>
      <c r="CX78" s="2">
        <f t="shared" si="72"/>
        <v>77.327649999999991</v>
      </c>
    </row>
    <row r="79" spans="1:102" x14ac:dyDescent="0.2">
      <c r="A79" s="3" t="s">
        <v>184</v>
      </c>
      <c r="B79" s="2">
        <f>MIN(B65:B76)</f>
        <v>73.313333333333333</v>
      </c>
      <c r="C79" s="2">
        <f t="shared" ref="C79:BN79" si="73">MIN(C65:C76)</f>
        <v>74.199999999999989</v>
      </c>
      <c r="D79" s="2">
        <f t="shared" si="73"/>
        <v>73.826666666666682</v>
      </c>
      <c r="E79" s="2">
        <f t="shared" si="73"/>
        <v>74.739999999999995</v>
      </c>
      <c r="F79" s="2">
        <f t="shared" si="73"/>
        <v>73.271666666666675</v>
      </c>
      <c r="G79" s="2">
        <f t="shared" si="73"/>
        <v>74.106666666666655</v>
      </c>
      <c r="H79" s="2">
        <f t="shared" si="73"/>
        <v>76.59</v>
      </c>
      <c r="I79" s="2">
        <f t="shared" si="73"/>
        <v>72.473333333333343</v>
      </c>
      <c r="J79" s="2">
        <f t="shared" si="73"/>
        <v>73.389999999999986</v>
      </c>
      <c r="K79" s="2">
        <f t="shared" si="73"/>
        <v>74.240000000000009</v>
      </c>
      <c r="L79" s="2">
        <f t="shared" si="73"/>
        <v>74.071666666666658</v>
      </c>
      <c r="M79" s="2">
        <f t="shared" si="73"/>
        <v>74.033333333333331</v>
      </c>
      <c r="N79" s="2">
        <f t="shared" si="73"/>
        <v>74.513333333333321</v>
      </c>
      <c r="O79" s="2">
        <f t="shared" si="73"/>
        <v>75.263333333333335</v>
      </c>
      <c r="P79" s="2">
        <f t="shared" si="73"/>
        <v>74.083333333333329</v>
      </c>
      <c r="Q79" s="2">
        <f t="shared" si="73"/>
        <v>73.24666666666667</v>
      </c>
      <c r="R79" s="2">
        <f t="shared" si="73"/>
        <v>73.671666666666667</v>
      </c>
      <c r="S79" s="2">
        <f t="shared" si="73"/>
        <v>74.823333333333338</v>
      </c>
      <c r="T79" s="2">
        <f t="shared" si="73"/>
        <v>73.485000000000014</v>
      </c>
      <c r="U79" s="2">
        <f t="shared" si="73"/>
        <v>72.74666666666667</v>
      </c>
      <c r="V79" s="2">
        <f t="shared" si="73"/>
        <v>72.75833333333334</v>
      </c>
      <c r="W79" s="2">
        <f t="shared" si="73"/>
        <v>71.185000000000002</v>
      </c>
      <c r="X79" s="2">
        <f t="shared" si="73"/>
        <v>73.556666666666672</v>
      </c>
      <c r="Y79" s="2">
        <f t="shared" si="73"/>
        <v>73.708333333333343</v>
      </c>
      <c r="Z79" s="2">
        <f t="shared" si="73"/>
        <v>74.85499999999999</v>
      </c>
      <c r="AA79" s="2">
        <f t="shared" si="73"/>
        <v>72.34666666666665</v>
      </c>
      <c r="AB79" s="2">
        <f t="shared" si="73"/>
        <v>73.946666666666658</v>
      </c>
      <c r="AC79" s="2">
        <f t="shared" si="73"/>
        <v>75.353333333333353</v>
      </c>
      <c r="AD79" s="2">
        <f t="shared" si="73"/>
        <v>73.55</v>
      </c>
      <c r="AE79" s="2">
        <f t="shared" si="73"/>
        <v>73.941666666666663</v>
      </c>
      <c r="AF79" s="2">
        <f t="shared" si="73"/>
        <v>75.783333333333331</v>
      </c>
      <c r="AG79" s="2">
        <f t="shared" si="73"/>
        <v>73.316666666666663</v>
      </c>
      <c r="AH79" s="2">
        <f t="shared" si="73"/>
        <v>74.971666666666664</v>
      </c>
      <c r="AI79" s="2">
        <f t="shared" si="73"/>
        <v>75.398333333333341</v>
      </c>
      <c r="AJ79" s="2">
        <f t="shared" si="73"/>
        <v>72.859999999999985</v>
      </c>
      <c r="AK79" s="2">
        <f t="shared" si="73"/>
        <v>71.031666666666666</v>
      </c>
      <c r="AL79" s="2">
        <f t="shared" si="73"/>
        <v>76.471666666666664</v>
      </c>
      <c r="AM79" s="2">
        <f t="shared" si="73"/>
        <v>74.989999999999995</v>
      </c>
      <c r="AN79" s="2">
        <f t="shared" si="73"/>
        <v>73.990000000000009</v>
      </c>
      <c r="AO79" s="2">
        <f t="shared" si="73"/>
        <v>72.08</v>
      </c>
      <c r="AP79" s="2">
        <f t="shared" si="73"/>
        <v>72.733333333333334</v>
      </c>
      <c r="AQ79" s="2">
        <f t="shared" si="73"/>
        <v>74.583333333333329</v>
      </c>
      <c r="AR79" s="2">
        <f t="shared" si="73"/>
        <v>72.24666666666667</v>
      </c>
      <c r="AS79" s="2">
        <f t="shared" si="73"/>
        <v>74.101666666666659</v>
      </c>
      <c r="AT79" s="2">
        <f t="shared" si="73"/>
        <v>74.625</v>
      </c>
      <c r="AU79" s="2">
        <f t="shared" si="73"/>
        <v>75.381666666666661</v>
      </c>
      <c r="AV79" s="2">
        <f t="shared" si="73"/>
        <v>72.274999999999991</v>
      </c>
      <c r="AW79" s="2">
        <f t="shared" si="73"/>
        <v>74.790000000000006</v>
      </c>
      <c r="AX79" s="2">
        <f t="shared" si="73"/>
        <v>74.48</v>
      </c>
      <c r="AY79" s="2">
        <f t="shared" si="73"/>
        <v>74.599999999999994</v>
      </c>
      <c r="AZ79" s="2">
        <f t="shared" si="73"/>
        <v>73.69</v>
      </c>
      <c r="BA79" s="2">
        <f t="shared" si="73"/>
        <v>73.661666666666662</v>
      </c>
      <c r="BB79" s="2">
        <f t="shared" si="73"/>
        <v>73.238333333333344</v>
      </c>
      <c r="BC79" s="2">
        <f t="shared" si="73"/>
        <v>73.849999999999994</v>
      </c>
      <c r="BD79" s="2">
        <f t="shared" si="73"/>
        <v>71.759999999999991</v>
      </c>
      <c r="BE79" s="2">
        <f t="shared" si="73"/>
        <v>70.626666666666665</v>
      </c>
      <c r="BF79" s="2">
        <f t="shared" si="73"/>
        <v>73.998333333333335</v>
      </c>
      <c r="BG79" s="2">
        <f t="shared" si="73"/>
        <v>75.898333333333326</v>
      </c>
      <c r="BH79" s="2">
        <f t="shared" si="73"/>
        <v>74.94</v>
      </c>
      <c r="BI79" s="2">
        <f t="shared" si="73"/>
        <v>73.49666666666667</v>
      </c>
      <c r="BJ79" s="2">
        <f t="shared" si="73"/>
        <v>76.183333333333337</v>
      </c>
      <c r="BK79" s="2">
        <f t="shared" si="73"/>
        <v>74.064999999999998</v>
      </c>
      <c r="BL79" s="2">
        <f t="shared" si="73"/>
        <v>74.056666666666672</v>
      </c>
      <c r="BM79" s="2">
        <f t="shared" si="73"/>
        <v>74.910000000000011</v>
      </c>
      <c r="BN79" s="2">
        <f t="shared" si="73"/>
        <v>74.064999999999998</v>
      </c>
      <c r="BO79" s="2">
        <f t="shared" ref="BO79:CX79" si="74">MIN(BO65:BO76)</f>
        <v>72.555000000000007</v>
      </c>
      <c r="BP79" s="2">
        <f t="shared" si="74"/>
        <v>74.640000000000015</v>
      </c>
      <c r="BQ79" s="2">
        <f t="shared" si="74"/>
        <v>74.543333333333351</v>
      </c>
      <c r="BR79" s="2">
        <f t="shared" si="74"/>
        <v>73.41</v>
      </c>
      <c r="BS79" s="2">
        <f t="shared" si="74"/>
        <v>74.933333333333337</v>
      </c>
      <c r="BT79" s="2">
        <f t="shared" si="74"/>
        <v>74.794999999999987</v>
      </c>
      <c r="BU79" s="2">
        <f t="shared" si="74"/>
        <v>76.930000000000007</v>
      </c>
      <c r="BV79" s="2">
        <f t="shared" si="74"/>
        <v>74.75333333333333</v>
      </c>
      <c r="BW79" s="2">
        <f t="shared" si="74"/>
        <v>72.234999999999985</v>
      </c>
      <c r="BX79" s="2">
        <f t="shared" si="74"/>
        <v>73.72999999999999</v>
      </c>
      <c r="BY79" s="2">
        <f t="shared" si="74"/>
        <v>75.25333333333333</v>
      </c>
      <c r="BZ79" s="2">
        <f t="shared" si="74"/>
        <v>72.550000000000011</v>
      </c>
      <c r="CA79" s="2">
        <f t="shared" si="74"/>
        <v>75.239999999999995</v>
      </c>
      <c r="CB79" s="2">
        <f t="shared" si="74"/>
        <v>71.724999999999994</v>
      </c>
      <c r="CC79" s="2">
        <f t="shared" si="74"/>
        <v>75.491666666666674</v>
      </c>
      <c r="CD79" s="2">
        <f t="shared" si="74"/>
        <v>74.861666666666679</v>
      </c>
      <c r="CE79" s="2">
        <f t="shared" si="74"/>
        <v>73.33</v>
      </c>
      <c r="CF79" s="2">
        <f t="shared" si="74"/>
        <v>71.203333333333319</v>
      </c>
      <c r="CG79" s="2">
        <f t="shared" si="74"/>
        <v>75.396666666666661</v>
      </c>
      <c r="CH79" s="2">
        <f t="shared" si="74"/>
        <v>73.789999999999992</v>
      </c>
      <c r="CI79" s="2">
        <f t="shared" si="74"/>
        <v>74.294999999999987</v>
      </c>
      <c r="CJ79" s="2">
        <f t="shared" si="74"/>
        <v>75.993333333333339</v>
      </c>
      <c r="CK79" s="2">
        <f t="shared" si="74"/>
        <v>71.213333333333324</v>
      </c>
      <c r="CL79" s="2">
        <f t="shared" si="74"/>
        <v>72.851666666666674</v>
      </c>
      <c r="CM79" s="2">
        <f t="shared" si="74"/>
        <v>70.961666666666673</v>
      </c>
      <c r="CN79" s="2">
        <f t="shared" si="74"/>
        <v>76.758333333333326</v>
      </c>
      <c r="CO79" s="2">
        <f t="shared" si="74"/>
        <v>72.066666666666677</v>
      </c>
      <c r="CP79" s="2">
        <f t="shared" si="74"/>
        <v>73.893333333333331</v>
      </c>
      <c r="CQ79" s="2">
        <f t="shared" si="74"/>
        <v>73.31</v>
      </c>
      <c r="CR79" s="2">
        <f t="shared" si="74"/>
        <v>75.776666666666671</v>
      </c>
      <c r="CS79" s="2">
        <f t="shared" si="74"/>
        <v>75.135000000000005</v>
      </c>
      <c r="CT79" s="2">
        <f t="shared" si="74"/>
        <v>73.965000000000003</v>
      </c>
      <c r="CU79" s="2">
        <f t="shared" si="74"/>
        <v>74.891666666666666</v>
      </c>
      <c r="CV79" s="2">
        <f t="shared" si="74"/>
        <v>72.073333333333338</v>
      </c>
      <c r="CW79" s="2">
        <f t="shared" si="74"/>
        <v>72.63</v>
      </c>
      <c r="CX79" s="2">
        <f t="shared" si="74"/>
        <v>76.768433333333334</v>
      </c>
    </row>
    <row r="80" spans="1:102" x14ac:dyDescent="0.2">
      <c r="A80" s="3" t="s">
        <v>185</v>
      </c>
      <c r="B80" s="2">
        <f>B78-B79</f>
        <v>6.8149999999999977</v>
      </c>
      <c r="C80" s="2">
        <f t="shared" ref="C80:BN80" si="75">C78-C79</f>
        <v>4.9750000000000227</v>
      </c>
      <c r="D80" s="2">
        <f t="shared" si="75"/>
        <v>3.2649999999999864</v>
      </c>
      <c r="E80" s="2">
        <f t="shared" si="75"/>
        <v>2.63333333333334</v>
      </c>
      <c r="F80" s="2">
        <f t="shared" si="75"/>
        <v>7.3116666666666532</v>
      </c>
      <c r="G80" s="2">
        <f t="shared" si="75"/>
        <v>6.2250000000000227</v>
      </c>
      <c r="H80" s="2">
        <f t="shared" si="75"/>
        <v>3.6033333333333246</v>
      </c>
      <c r="I80" s="2">
        <f t="shared" si="75"/>
        <v>7.7033333333333331</v>
      </c>
      <c r="J80" s="2">
        <f t="shared" si="75"/>
        <v>7.7700000000000102</v>
      </c>
      <c r="K80" s="2">
        <f t="shared" si="75"/>
        <v>5.3999999999999915</v>
      </c>
      <c r="L80" s="2">
        <f t="shared" si="75"/>
        <v>5.3916666666666657</v>
      </c>
      <c r="M80" s="2">
        <f t="shared" si="75"/>
        <v>4.49166666666666</v>
      </c>
      <c r="N80" s="2">
        <f t="shared" si="75"/>
        <v>5.5633333333333468</v>
      </c>
      <c r="O80" s="2">
        <f t="shared" si="75"/>
        <v>4.4599999999999937</v>
      </c>
      <c r="P80" s="2">
        <f t="shared" si="75"/>
        <v>6.0633333333333468</v>
      </c>
      <c r="Q80" s="2">
        <f t="shared" si="75"/>
        <v>6.3133333333333326</v>
      </c>
      <c r="R80" s="2">
        <f t="shared" si="75"/>
        <v>7.5899999999999892</v>
      </c>
      <c r="S80" s="2">
        <f t="shared" si="75"/>
        <v>5.9333333333333229</v>
      </c>
      <c r="T80" s="2">
        <f t="shared" si="75"/>
        <v>4.5116666666666561</v>
      </c>
      <c r="U80" s="2">
        <f t="shared" si="75"/>
        <v>7.0300000000000011</v>
      </c>
      <c r="V80" s="2">
        <f t="shared" si="75"/>
        <v>8.2183333333333337</v>
      </c>
      <c r="W80" s="2">
        <f t="shared" si="75"/>
        <v>6.7816666666666663</v>
      </c>
      <c r="X80" s="2">
        <f t="shared" si="75"/>
        <v>6.8283333333333474</v>
      </c>
      <c r="Y80" s="2">
        <f t="shared" si="75"/>
        <v>5.6766666666666623</v>
      </c>
      <c r="Z80" s="2">
        <f t="shared" si="75"/>
        <v>3.2199999999999989</v>
      </c>
      <c r="AA80" s="2">
        <f t="shared" si="75"/>
        <v>8.2883333333333553</v>
      </c>
      <c r="AB80" s="2">
        <f t="shared" si="75"/>
        <v>5.3050000000000068</v>
      </c>
      <c r="AC80" s="2">
        <f t="shared" si="75"/>
        <v>3.7749999999999773</v>
      </c>
      <c r="AD80" s="2">
        <f t="shared" si="75"/>
        <v>8.286666666666676</v>
      </c>
      <c r="AE80" s="2">
        <f t="shared" si="75"/>
        <v>2.3983333333333405</v>
      </c>
      <c r="AF80" s="2">
        <f t="shared" si="75"/>
        <v>5.8133333333333326</v>
      </c>
      <c r="AG80" s="2">
        <f t="shared" si="75"/>
        <v>8.2533333333333303</v>
      </c>
      <c r="AH80" s="2">
        <f t="shared" si="75"/>
        <v>6.9866666666666788</v>
      </c>
      <c r="AI80" s="2">
        <f t="shared" si="75"/>
        <v>4.4749999999999943</v>
      </c>
      <c r="AJ80" s="2">
        <f t="shared" si="75"/>
        <v>6.7216666666666782</v>
      </c>
      <c r="AK80" s="2">
        <f t="shared" si="75"/>
        <v>9.9333333333333229</v>
      </c>
      <c r="AL80" s="2">
        <f t="shared" si="75"/>
        <v>4.4333333333333371</v>
      </c>
      <c r="AM80" s="2">
        <f t="shared" si="75"/>
        <v>4.0200000000000102</v>
      </c>
      <c r="AN80" s="2">
        <f t="shared" si="75"/>
        <v>7.8499999999999943</v>
      </c>
      <c r="AO80" s="2">
        <f t="shared" si="75"/>
        <v>7.048333333333332</v>
      </c>
      <c r="AP80" s="2">
        <f t="shared" si="75"/>
        <v>7.7166666666666828</v>
      </c>
      <c r="AQ80" s="2">
        <f t="shared" si="75"/>
        <v>3.4350000000000165</v>
      </c>
      <c r="AR80" s="2">
        <f t="shared" si="75"/>
        <v>6.9633333333333383</v>
      </c>
      <c r="AS80" s="2">
        <f t="shared" si="75"/>
        <v>5.6466666666666754</v>
      </c>
      <c r="AT80" s="2">
        <f t="shared" si="75"/>
        <v>2.6916666666666629</v>
      </c>
      <c r="AU80" s="2">
        <f t="shared" si="75"/>
        <v>4.1366666666666845</v>
      </c>
      <c r="AV80" s="2">
        <f t="shared" si="75"/>
        <v>8.8283333333333331</v>
      </c>
      <c r="AW80" s="2">
        <f t="shared" si="75"/>
        <v>4.0250000000000057</v>
      </c>
      <c r="AX80" s="2">
        <f t="shared" si="75"/>
        <v>5.9016666666666566</v>
      </c>
      <c r="AY80" s="2">
        <f t="shared" si="75"/>
        <v>6.096666666666664</v>
      </c>
      <c r="AZ80" s="2">
        <f t="shared" si="75"/>
        <v>6.1183333333333394</v>
      </c>
      <c r="BA80" s="2">
        <f t="shared" si="75"/>
        <v>4.5633333333333326</v>
      </c>
      <c r="BB80" s="2">
        <f t="shared" si="75"/>
        <v>4.7566666666666606</v>
      </c>
      <c r="BC80" s="2">
        <f t="shared" si="75"/>
        <v>8.6933333333333422</v>
      </c>
      <c r="BD80" s="2">
        <f t="shared" si="75"/>
        <v>5.9050000000000011</v>
      </c>
      <c r="BE80" s="2">
        <f t="shared" si="75"/>
        <v>6.2416666666666742</v>
      </c>
      <c r="BF80" s="2">
        <f t="shared" si="75"/>
        <v>7.11666666666666</v>
      </c>
      <c r="BG80" s="2">
        <f t="shared" si="75"/>
        <v>5.7466666666666839</v>
      </c>
      <c r="BH80" s="2">
        <f t="shared" si="75"/>
        <v>5.3666666666666742</v>
      </c>
      <c r="BI80" s="2">
        <f t="shared" si="75"/>
        <v>6.5883333333333383</v>
      </c>
      <c r="BJ80" s="2">
        <f t="shared" si="75"/>
        <v>5.3400000000000034</v>
      </c>
      <c r="BK80" s="2">
        <f t="shared" si="75"/>
        <v>5.528333333333336</v>
      </c>
      <c r="BL80" s="2">
        <f t="shared" si="75"/>
        <v>5.4499999999999886</v>
      </c>
      <c r="BM80" s="2">
        <f t="shared" si="75"/>
        <v>6.3233333333333235</v>
      </c>
      <c r="BN80" s="2">
        <f t="shared" si="75"/>
        <v>5.8700000000000045</v>
      </c>
      <c r="BO80" s="2">
        <f t="shared" ref="BO80:CX80" si="76">BO78-BO79</f>
        <v>8.2833333333333314</v>
      </c>
      <c r="BP80" s="2">
        <f t="shared" si="76"/>
        <v>6.2449999999999903</v>
      </c>
      <c r="BQ80" s="2">
        <f t="shared" si="76"/>
        <v>5.0833333333333144</v>
      </c>
      <c r="BR80" s="2">
        <f t="shared" si="76"/>
        <v>5.6733333333333462</v>
      </c>
      <c r="BS80" s="2">
        <f t="shared" si="76"/>
        <v>5.0433333333333223</v>
      </c>
      <c r="BT80" s="2">
        <f t="shared" si="76"/>
        <v>7.2716666666666754</v>
      </c>
      <c r="BU80" s="2">
        <f t="shared" si="76"/>
        <v>4.8799999999999955</v>
      </c>
      <c r="BV80" s="2">
        <f t="shared" si="76"/>
        <v>2.6583333333333314</v>
      </c>
      <c r="BW80" s="2">
        <f t="shared" si="76"/>
        <v>4.6933333333333564</v>
      </c>
      <c r="BX80" s="2">
        <f t="shared" si="76"/>
        <v>5.3766666666666794</v>
      </c>
      <c r="BY80" s="2">
        <f t="shared" si="76"/>
        <v>4.7966666666666669</v>
      </c>
      <c r="BZ80" s="2">
        <f t="shared" si="76"/>
        <v>7.1316666666666606</v>
      </c>
      <c r="CA80" s="2">
        <f t="shared" si="76"/>
        <v>3.8466666666666782</v>
      </c>
      <c r="CB80" s="2">
        <f t="shared" si="76"/>
        <v>8.7916666666666714</v>
      </c>
      <c r="CC80" s="2">
        <f t="shared" si="76"/>
        <v>5.1783333333333275</v>
      </c>
      <c r="CD80" s="2">
        <f t="shared" si="76"/>
        <v>3.4183333333333366</v>
      </c>
      <c r="CE80" s="2">
        <f t="shared" si="76"/>
        <v>6.6416666666666657</v>
      </c>
      <c r="CF80" s="2">
        <f t="shared" si="76"/>
        <v>6.6633333333333553</v>
      </c>
      <c r="CG80" s="2">
        <f t="shared" si="76"/>
        <v>4.423333333333332</v>
      </c>
      <c r="CH80" s="2">
        <f t="shared" si="76"/>
        <v>6.4466666666666868</v>
      </c>
      <c r="CI80" s="2">
        <f t="shared" si="76"/>
        <v>7.1400000000000148</v>
      </c>
      <c r="CJ80" s="2">
        <f t="shared" si="76"/>
        <v>3.7233333333333292</v>
      </c>
      <c r="CK80" s="2">
        <f t="shared" si="76"/>
        <v>8.8333333333333428</v>
      </c>
      <c r="CL80" s="2">
        <f t="shared" si="76"/>
        <v>6.846666666666664</v>
      </c>
      <c r="CM80" s="2">
        <f t="shared" si="76"/>
        <v>10.433333333333323</v>
      </c>
      <c r="CN80" s="2">
        <f t="shared" si="76"/>
        <v>3.9683333333333337</v>
      </c>
      <c r="CO80" s="2">
        <f t="shared" si="76"/>
        <v>7.2283333333333246</v>
      </c>
      <c r="CP80" s="2">
        <f t="shared" si="76"/>
        <v>6.2466666666666697</v>
      </c>
      <c r="CQ80" s="2">
        <f t="shared" si="76"/>
        <v>5.9200000000000017</v>
      </c>
      <c r="CR80" s="2">
        <f t="shared" si="76"/>
        <v>4.3933333333333309</v>
      </c>
      <c r="CS80" s="2">
        <f t="shared" si="76"/>
        <v>5.9666666666666544</v>
      </c>
      <c r="CT80" s="2">
        <f t="shared" si="76"/>
        <v>5.6266666666666652</v>
      </c>
      <c r="CU80" s="2">
        <f t="shared" si="76"/>
        <v>6.9816666666666691</v>
      </c>
      <c r="CV80" s="2">
        <f t="shared" si="76"/>
        <v>9.2250000000000085</v>
      </c>
      <c r="CW80" s="2">
        <f t="shared" si="76"/>
        <v>7.9200000000000017</v>
      </c>
      <c r="CX80" s="2">
        <f t="shared" si="76"/>
        <v>0.55921666666665715</v>
      </c>
    </row>
    <row r="83" spans="1:102" x14ac:dyDescent="0.2">
      <c r="A83" t="s">
        <v>187</v>
      </c>
      <c r="B83">
        <f t="shared" ref="B83:AG83" si="77">MAX(Three_Year_Average)</f>
        <v>78.953611111111115</v>
      </c>
      <c r="C83">
        <f t="shared" si="77"/>
        <v>78.953611111111115</v>
      </c>
      <c r="D83">
        <f t="shared" si="77"/>
        <v>78.953611111111115</v>
      </c>
      <c r="E83">
        <f t="shared" si="77"/>
        <v>78.953611111111115</v>
      </c>
      <c r="F83">
        <f t="shared" si="77"/>
        <v>78.953611111111115</v>
      </c>
      <c r="G83">
        <f t="shared" si="77"/>
        <v>78.953611111111115</v>
      </c>
      <c r="H83">
        <f t="shared" si="77"/>
        <v>78.953611111111115</v>
      </c>
      <c r="I83">
        <f t="shared" si="77"/>
        <v>78.953611111111115</v>
      </c>
      <c r="J83">
        <f t="shared" si="77"/>
        <v>78.953611111111115</v>
      </c>
      <c r="K83">
        <f t="shared" si="77"/>
        <v>78.953611111111115</v>
      </c>
      <c r="L83">
        <f t="shared" si="77"/>
        <v>78.953611111111115</v>
      </c>
      <c r="M83">
        <f t="shared" si="77"/>
        <v>78.953611111111115</v>
      </c>
      <c r="N83">
        <f t="shared" si="77"/>
        <v>78.953611111111115</v>
      </c>
      <c r="O83">
        <f t="shared" si="77"/>
        <v>78.953611111111115</v>
      </c>
      <c r="P83">
        <f t="shared" si="77"/>
        <v>78.953611111111115</v>
      </c>
      <c r="Q83">
        <f t="shared" si="77"/>
        <v>78.953611111111115</v>
      </c>
      <c r="R83">
        <f t="shared" si="77"/>
        <v>78.953611111111115</v>
      </c>
      <c r="S83">
        <f t="shared" si="77"/>
        <v>78.953611111111115</v>
      </c>
      <c r="T83">
        <f t="shared" si="77"/>
        <v>78.953611111111115</v>
      </c>
      <c r="U83">
        <f t="shared" si="77"/>
        <v>78.953611111111115</v>
      </c>
      <c r="V83">
        <f t="shared" si="77"/>
        <v>78.953611111111115</v>
      </c>
      <c r="W83">
        <f t="shared" si="77"/>
        <v>78.953611111111115</v>
      </c>
      <c r="X83">
        <f t="shared" si="77"/>
        <v>78.953611111111115</v>
      </c>
      <c r="Y83">
        <f t="shared" si="77"/>
        <v>78.953611111111115</v>
      </c>
      <c r="Z83">
        <f t="shared" si="77"/>
        <v>78.953611111111115</v>
      </c>
      <c r="AA83">
        <f t="shared" si="77"/>
        <v>78.953611111111115</v>
      </c>
      <c r="AB83">
        <f t="shared" si="77"/>
        <v>78.953611111111115</v>
      </c>
      <c r="AC83">
        <f t="shared" si="77"/>
        <v>78.953611111111115</v>
      </c>
      <c r="AD83">
        <f t="shared" si="77"/>
        <v>78.953611111111115</v>
      </c>
      <c r="AE83">
        <f t="shared" si="77"/>
        <v>78.953611111111115</v>
      </c>
      <c r="AF83">
        <f t="shared" si="77"/>
        <v>78.953611111111115</v>
      </c>
      <c r="AG83">
        <f t="shared" si="77"/>
        <v>78.953611111111115</v>
      </c>
      <c r="AH83">
        <f t="shared" ref="AH83:BM83" si="78">MAX(Three_Year_Average)</f>
        <v>78.953611111111115</v>
      </c>
      <c r="AI83">
        <f t="shared" si="78"/>
        <v>78.953611111111115</v>
      </c>
      <c r="AJ83">
        <f t="shared" si="78"/>
        <v>78.953611111111115</v>
      </c>
      <c r="AK83">
        <f t="shared" si="78"/>
        <v>78.953611111111115</v>
      </c>
      <c r="AL83">
        <f t="shared" si="78"/>
        <v>78.953611111111115</v>
      </c>
      <c r="AM83">
        <f t="shared" si="78"/>
        <v>78.953611111111115</v>
      </c>
      <c r="AN83">
        <f t="shared" si="78"/>
        <v>78.953611111111115</v>
      </c>
      <c r="AO83">
        <f t="shared" si="78"/>
        <v>78.953611111111115</v>
      </c>
      <c r="AP83">
        <f t="shared" si="78"/>
        <v>78.953611111111115</v>
      </c>
      <c r="AQ83">
        <f t="shared" si="78"/>
        <v>78.953611111111115</v>
      </c>
      <c r="AR83">
        <f t="shared" si="78"/>
        <v>78.953611111111115</v>
      </c>
      <c r="AS83">
        <f t="shared" si="78"/>
        <v>78.953611111111115</v>
      </c>
      <c r="AT83">
        <f t="shared" si="78"/>
        <v>78.953611111111115</v>
      </c>
      <c r="AU83">
        <f t="shared" si="78"/>
        <v>78.953611111111115</v>
      </c>
      <c r="AV83">
        <f t="shared" si="78"/>
        <v>78.953611111111115</v>
      </c>
      <c r="AW83">
        <f t="shared" si="78"/>
        <v>78.953611111111115</v>
      </c>
      <c r="AX83">
        <f t="shared" si="78"/>
        <v>78.953611111111115</v>
      </c>
      <c r="AY83">
        <f t="shared" si="78"/>
        <v>78.953611111111115</v>
      </c>
      <c r="AZ83">
        <f t="shared" si="78"/>
        <v>78.953611111111115</v>
      </c>
      <c r="BA83">
        <f t="shared" si="78"/>
        <v>78.953611111111115</v>
      </c>
      <c r="BB83">
        <f t="shared" si="78"/>
        <v>78.953611111111115</v>
      </c>
      <c r="BC83">
        <f t="shared" si="78"/>
        <v>78.953611111111115</v>
      </c>
      <c r="BD83">
        <f t="shared" si="78"/>
        <v>78.953611111111115</v>
      </c>
      <c r="BE83">
        <f t="shared" si="78"/>
        <v>78.953611111111115</v>
      </c>
      <c r="BF83">
        <f t="shared" si="78"/>
        <v>78.953611111111115</v>
      </c>
      <c r="BG83">
        <f t="shared" si="78"/>
        <v>78.953611111111115</v>
      </c>
      <c r="BH83">
        <f t="shared" si="78"/>
        <v>78.953611111111115</v>
      </c>
      <c r="BI83">
        <f t="shared" si="78"/>
        <v>78.953611111111115</v>
      </c>
      <c r="BJ83">
        <f t="shared" si="78"/>
        <v>78.953611111111115</v>
      </c>
      <c r="BK83">
        <f t="shared" si="78"/>
        <v>78.953611111111115</v>
      </c>
      <c r="BL83">
        <f t="shared" si="78"/>
        <v>78.953611111111115</v>
      </c>
      <c r="BM83">
        <f t="shared" si="78"/>
        <v>78.953611111111115</v>
      </c>
      <c r="BN83">
        <f t="shared" ref="BN83:CX83" si="79">MAX(Three_Year_Average)</f>
        <v>78.953611111111115</v>
      </c>
      <c r="BO83">
        <f t="shared" si="79"/>
        <v>78.953611111111115</v>
      </c>
      <c r="BP83">
        <f t="shared" si="79"/>
        <v>78.953611111111115</v>
      </c>
      <c r="BQ83">
        <f t="shared" si="79"/>
        <v>78.953611111111115</v>
      </c>
      <c r="BR83">
        <f t="shared" si="79"/>
        <v>78.953611111111115</v>
      </c>
      <c r="BS83">
        <f t="shared" si="79"/>
        <v>78.953611111111115</v>
      </c>
      <c r="BT83">
        <f t="shared" si="79"/>
        <v>78.953611111111115</v>
      </c>
      <c r="BU83">
        <f t="shared" si="79"/>
        <v>78.953611111111115</v>
      </c>
      <c r="BV83">
        <f t="shared" si="79"/>
        <v>78.953611111111115</v>
      </c>
      <c r="BW83">
        <f t="shared" si="79"/>
        <v>78.953611111111115</v>
      </c>
      <c r="BX83">
        <f t="shared" si="79"/>
        <v>78.953611111111115</v>
      </c>
      <c r="BY83">
        <f t="shared" si="79"/>
        <v>78.953611111111115</v>
      </c>
      <c r="BZ83">
        <f t="shared" si="79"/>
        <v>78.953611111111115</v>
      </c>
      <c r="CA83">
        <f t="shared" si="79"/>
        <v>78.953611111111115</v>
      </c>
      <c r="CB83">
        <f t="shared" si="79"/>
        <v>78.953611111111115</v>
      </c>
      <c r="CC83">
        <f t="shared" si="79"/>
        <v>78.953611111111115</v>
      </c>
      <c r="CD83">
        <f t="shared" si="79"/>
        <v>78.953611111111115</v>
      </c>
      <c r="CE83">
        <f t="shared" si="79"/>
        <v>78.953611111111115</v>
      </c>
      <c r="CF83">
        <f t="shared" si="79"/>
        <v>78.953611111111115</v>
      </c>
      <c r="CG83">
        <f t="shared" si="79"/>
        <v>78.953611111111115</v>
      </c>
      <c r="CH83">
        <f t="shared" si="79"/>
        <v>78.953611111111115</v>
      </c>
      <c r="CI83">
        <f t="shared" si="79"/>
        <v>78.953611111111115</v>
      </c>
      <c r="CJ83">
        <f t="shared" si="79"/>
        <v>78.953611111111115</v>
      </c>
      <c r="CK83">
        <f t="shared" si="79"/>
        <v>78.953611111111115</v>
      </c>
      <c r="CL83">
        <f t="shared" si="79"/>
        <v>78.953611111111115</v>
      </c>
      <c r="CM83">
        <f t="shared" si="79"/>
        <v>78.953611111111115</v>
      </c>
      <c r="CN83">
        <f t="shared" si="79"/>
        <v>78.953611111111115</v>
      </c>
      <c r="CO83">
        <f t="shared" si="79"/>
        <v>78.953611111111115</v>
      </c>
      <c r="CP83">
        <f t="shared" si="79"/>
        <v>78.953611111111115</v>
      </c>
      <c r="CQ83">
        <f t="shared" si="79"/>
        <v>78.953611111111115</v>
      </c>
      <c r="CR83">
        <f t="shared" si="79"/>
        <v>78.953611111111115</v>
      </c>
      <c r="CS83">
        <f t="shared" si="79"/>
        <v>78.953611111111115</v>
      </c>
      <c r="CT83">
        <f t="shared" si="79"/>
        <v>78.953611111111115</v>
      </c>
      <c r="CU83">
        <f t="shared" si="79"/>
        <v>78.953611111111115</v>
      </c>
      <c r="CV83">
        <f t="shared" si="79"/>
        <v>78.953611111111115</v>
      </c>
      <c r="CW83">
        <f t="shared" si="79"/>
        <v>78.953611111111115</v>
      </c>
      <c r="CX83">
        <f t="shared" si="79"/>
        <v>78.953611111111115</v>
      </c>
    </row>
    <row r="84" spans="1:102" x14ac:dyDescent="0.2">
      <c r="A84" t="s">
        <v>188</v>
      </c>
      <c r="B84">
        <f t="shared" ref="B84:AG84" si="80">MIN(Three_Year_Average)</f>
        <v>75.006388888888893</v>
      </c>
      <c r="C84">
        <f t="shared" si="80"/>
        <v>75.006388888888893</v>
      </c>
      <c r="D84">
        <f t="shared" si="80"/>
        <v>75.006388888888893</v>
      </c>
      <c r="E84">
        <f t="shared" si="80"/>
        <v>75.006388888888893</v>
      </c>
      <c r="F84">
        <f t="shared" si="80"/>
        <v>75.006388888888893</v>
      </c>
      <c r="G84">
        <f t="shared" si="80"/>
        <v>75.006388888888893</v>
      </c>
      <c r="H84">
        <f t="shared" si="80"/>
        <v>75.006388888888893</v>
      </c>
      <c r="I84">
        <f t="shared" si="80"/>
        <v>75.006388888888893</v>
      </c>
      <c r="J84">
        <f t="shared" si="80"/>
        <v>75.006388888888893</v>
      </c>
      <c r="K84">
        <f t="shared" si="80"/>
        <v>75.006388888888893</v>
      </c>
      <c r="L84">
        <f t="shared" si="80"/>
        <v>75.006388888888893</v>
      </c>
      <c r="M84">
        <f t="shared" si="80"/>
        <v>75.006388888888893</v>
      </c>
      <c r="N84">
        <f t="shared" si="80"/>
        <v>75.006388888888893</v>
      </c>
      <c r="O84">
        <f t="shared" si="80"/>
        <v>75.006388888888893</v>
      </c>
      <c r="P84">
        <f t="shared" si="80"/>
        <v>75.006388888888893</v>
      </c>
      <c r="Q84">
        <f t="shared" si="80"/>
        <v>75.006388888888893</v>
      </c>
      <c r="R84">
        <f t="shared" si="80"/>
        <v>75.006388888888893</v>
      </c>
      <c r="S84">
        <f t="shared" si="80"/>
        <v>75.006388888888893</v>
      </c>
      <c r="T84">
        <f t="shared" si="80"/>
        <v>75.006388888888893</v>
      </c>
      <c r="U84">
        <f t="shared" si="80"/>
        <v>75.006388888888893</v>
      </c>
      <c r="V84">
        <f t="shared" si="80"/>
        <v>75.006388888888893</v>
      </c>
      <c r="W84">
        <f t="shared" si="80"/>
        <v>75.006388888888893</v>
      </c>
      <c r="X84">
        <f t="shared" si="80"/>
        <v>75.006388888888893</v>
      </c>
      <c r="Y84">
        <f t="shared" si="80"/>
        <v>75.006388888888893</v>
      </c>
      <c r="Z84">
        <f t="shared" si="80"/>
        <v>75.006388888888893</v>
      </c>
      <c r="AA84">
        <f t="shared" si="80"/>
        <v>75.006388888888893</v>
      </c>
      <c r="AB84">
        <f t="shared" si="80"/>
        <v>75.006388888888893</v>
      </c>
      <c r="AC84">
        <f t="shared" si="80"/>
        <v>75.006388888888893</v>
      </c>
      <c r="AD84">
        <f t="shared" si="80"/>
        <v>75.006388888888893</v>
      </c>
      <c r="AE84">
        <f t="shared" si="80"/>
        <v>75.006388888888893</v>
      </c>
      <c r="AF84">
        <f t="shared" si="80"/>
        <v>75.006388888888893</v>
      </c>
      <c r="AG84">
        <f t="shared" si="80"/>
        <v>75.006388888888893</v>
      </c>
      <c r="AH84">
        <f t="shared" ref="AH84:BM84" si="81">MIN(Three_Year_Average)</f>
        <v>75.006388888888893</v>
      </c>
      <c r="AI84">
        <f t="shared" si="81"/>
        <v>75.006388888888893</v>
      </c>
      <c r="AJ84">
        <f t="shared" si="81"/>
        <v>75.006388888888893</v>
      </c>
      <c r="AK84">
        <f t="shared" si="81"/>
        <v>75.006388888888893</v>
      </c>
      <c r="AL84">
        <f t="shared" si="81"/>
        <v>75.006388888888893</v>
      </c>
      <c r="AM84">
        <f t="shared" si="81"/>
        <v>75.006388888888893</v>
      </c>
      <c r="AN84">
        <f t="shared" si="81"/>
        <v>75.006388888888893</v>
      </c>
      <c r="AO84">
        <f t="shared" si="81"/>
        <v>75.006388888888893</v>
      </c>
      <c r="AP84">
        <f t="shared" si="81"/>
        <v>75.006388888888893</v>
      </c>
      <c r="AQ84">
        <f t="shared" si="81"/>
        <v>75.006388888888893</v>
      </c>
      <c r="AR84">
        <f t="shared" si="81"/>
        <v>75.006388888888893</v>
      </c>
      <c r="AS84">
        <f t="shared" si="81"/>
        <v>75.006388888888893</v>
      </c>
      <c r="AT84">
        <f t="shared" si="81"/>
        <v>75.006388888888893</v>
      </c>
      <c r="AU84">
        <f t="shared" si="81"/>
        <v>75.006388888888893</v>
      </c>
      <c r="AV84">
        <f t="shared" si="81"/>
        <v>75.006388888888893</v>
      </c>
      <c r="AW84">
        <f t="shared" si="81"/>
        <v>75.006388888888893</v>
      </c>
      <c r="AX84">
        <f t="shared" si="81"/>
        <v>75.006388888888893</v>
      </c>
      <c r="AY84">
        <f t="shared" si="81"/>
        <v>75.006388888888893</v>
      </c>
      <c r="AZ84">
        <f t="shared" si="81"/>
        <v>75.006388888888893</v>
      </c>
      <c r="BA84">
        <f t="shared" si="81"/>
        <v>75.006388888888893</v>
      </c>
      <c r="BB84">
        <f t="shared" si="81"/>
        <v>75.006388888888893</v>
      </c>
      <c r="BC84">
        <f t="shared" si="81"/>
        <v>75.006388888888893</v>
      </c>
      <c r="BD84">
        <f t="shared" si="81"/>
        <v>75.006388888888893</v>
      </c>
      <c r="BE84">
        <f t="shared" si="81"/>
        <v>75.006388888888893</v>
      </c>
      <c r="BF84">
        <f t="shared" si="81"/>
        <v>75.006388888888893</v>
      </c>
      <c r="BG84">
        <f t="shared" si="81"/>
        <v>75.006388888888893</v>
      </c>
      <c r="BH84">
        <f t="shared" si="81"/>
        <v>75.006388888888893</v>
      </c>
      <c r="BI84">
        <f t="shared" si="81"/>
        <v>75.006388888888893</v>
      </c>
      <c r="BJ84">
        <f t="shared" si="81"/>
        <v>75.006388888888893</v>
      </c>
      <c r="BK84">
        <f t="shared" si="81"/>
        <v>75.006388888888893</v>
      </c>
      <c r="BL84">
        <f t="shared" si="81"/>
        <v>75.006388888888893</v>
      </c>
      <c r="BM84">
        <f t="shared" si="81"/>
        <v>75.006388888888893</v>
      </c>
      <c r="BN84">
        <f t="shared" ref="BN84:CX84" si="82">MIN(Three_Year_Average)</f>
        <v>75.006388888888893</v>
      </c>
      <c r="BO84">
        <f t="shared" si="82"/>
        <v>75.006388888888893</v>
      </c>
      <c r="BP84">
        <f t="shared" si="82"/>
        <v>75.006388888888893</v>
      </c>
      <c r="BQ84">
        <f t="shared" si="82"/>
        <v>75.006388888888893</v>
      </c>
      <c r="BR84">
        <f t="shared" si="82"/>
        <v>75.006388888888893</v>
      </c>
      <c r="BS84">
        <f t="shared" si="82"/>
        <v>75.006388888888893</v>
      </c>
      <c r="BT84">
        <f t="shared" si="82"/>
        <v>75.006388888888893</v>
      </c>
      <c r="BU84">
        <f t="shared" si="82"/>
        <v>75.006388888888893</v>
      </c>
      <c r="BV84">
        <f t="shared" si="82"/>
        <v>75.006388888888893</v>
      </c>
      <c r="BW84">
        <f t="shared" si="82"/>
        <v>75.006388888888893</v>
      </c>
      <c r="BX84">
        <f t="shared" si="82"/>
        <v>75.006388888888893</v>
      </c>
      <c r="BY84">
        <f t="shared" si="82"/>
        <v>75.006388888888893</v>
      </c>
      <c r="BZ84">
        <f t="shared" si="82"/>
        <v>75.006388888888893</v>
      </c>
      <c r="CA84">
        <f t="shared" si="82"/>
        <v>75.006388888888893</v>
      </c>
      <c r="CB84">
        <f t="shared" si="82"/>
        <v>75.006388888888893</v>
      </c>
      <c r="CC84">
        <f t="shared" si="82"/>
        <v>75.006388888888893</v>
      </c>
      <c r="CD84">
        <f t="shared" si="82"/>
        <v>75.006388888888893</v>
      </c>
      <c r="CE84">
        <f t="shared" si="82"/>
        <v>75.006388888888893</v>
      </c>
      <c r="CF84">
        <f t="shared" si="82"/>
        <v>75.006388888888893</v>
      </c>
      <c r="CG84">
        <f t="shared" si="82"/>
        <v>75.006388888888893</v>
      </c>
      <c r="CH84">
        <f t="shared" si="82"/>
        <v>75.006388888888893</v>
      </c>
      <c r="CI84">
        <f t="shared" si="82"/>
        <v>75.006388888888893</v>
      </c>
      <c r="CJ84">
        <f t="shared" si="82"/>
        <v>75.006388888888893</v>
      </c>
      <c r="CK84">
        <f t="shared" si="82"/>
        <v>75.006388888888893</v>
      </c>
      <c r="CL84">
        <f t="shared" si="82"/>
        <v>75.006388888888893</v>
      </c>
      <c r="CM84">
        <f t="shared" si="82"/>
        <v>75.006388888888893</v>
      </c>
      <c r="CN84">
        <f t="shared" si="82"/>
        <v>75.006388888888893</v>
      </c>
      <c r="CO84">
        <f t="shared" si="82"/>
        <v>75.006388888888893</v>
      </c>
      <c r="CP84">
        <f t="shared" si="82"/>
        <v>75.006388888888893</v>
      </c>
      <c r="CQ84">
        <f t="shared" si="82"/>
        <v>75.006388888888893</v>
      </c>
      <c r="CR84">
        <f t="shared" si="82"/>
        <v>75.006388888888893</v>
      </c>
      <c r="CS84">
        <f t="shared" si="82"/>
        <v>75.006388888888893</v>
      </c>
      <c r="CT84">
        <f t="shared" si="82"/>
        <v>75.006388888888893</v>
      </c>
      <c r="CU84">
        <f t="shared" si="82"/>
        <v>75.006388888888893</v>
      </c>
      <c r="CV84">
        <f t="shared" si="82"/>
        <v>75.006388888888893</v>
      </c>
      <c r="CW84">
        <f t="shared" si="82"/>
        <v>75.006388888888893</v>
      </c>
      <c r="CX84">
        <f t="shared" si="82"/>
        <v>75.006388888888893</v>
      </c>
    </row>
    <row r="85" spans="1:102" x14ac:dyDescent="0.2">
      <c r="A85" t="s">
        <v>189</v>
      </c>
      <c r="B85">
        <f>B83-B84</f>
        <v>3.9472222222222229</v>
      </c>
      <c r="C85">
        <f t="shared" ref="C85:BN85" si="83">C83-C84</f>
        <v>3.9472222222222229</v>
      </c>
      <c r="D85">
        <f t="shared" si="83"/>
        <v>3.9472222222222229</v>
      </c>
      <c r="E85">
        <f t="shared" si="83"/>
        <v>3.9472222222222229</v>
      </c>
      <c r="F85">
        <f t="shared" si="83"/>
        <v>3.9472222222222229</v>
      </c>
      <c r="G85">
        <f t="shared" si="83"/>
        <v>3.9472222222222229</v>
      </c>
      <c r="H85">
        <f t="shared" si="83"/>
        <v>3.9472222222222229</v>
      </c>
      <c r="I85">
        <f t="shared" si="83"/>
        <v>3.9472222222222229</v>
      </c>
      <c r="J85">
        <f t="shared" si="83"/>
        <v>3.9472222222222229</v>
      </c>
      <c r="K85">
        <f t="shared" si="83"/>
        <v>3.9472222222222229</v>
      </c>
      <c r="L85">
        <f t="shared" si="83"/>
        <v>3.9472222222222229</v>
      </c>
      <c r="M85">
        <f t="shared" si="83"/>
        <v>3.9472222222222229</v>
      </c>
      <c r="N85">
        <f t="shared" si="83"/>
        <v>3.9472222222222229</v>
      </c>
      <c r="O85">
        <f t="shared" si="83"/>
        <v>3.9472222222222229</v>
      </c>
      <c r="P85">
        <f t="shared" si="83"/>
        <v>3.9472222222222229</v>
      </c>
      <c r="Q85">
        <f t="shared" si="83"/>
        <v>3.9472222222222229</v>
      </c>
      <c r="R85">
        <f t="shared" si="83"/>
        <v>3.9472222222222229</v>
      </c>
      <c r="S85">
        <f t="shared" si="83"/>
        <v>3.9472222222222229</v>
      </c>
      <c r="T85">
        <f t="shared" si="83"/>
        <v>3.9472222222222229</v>
      </c>
      <c r="U85">
        <f t="shared" si="83"/>
        <v>3.9472222222222229</v>
      </c>
      <c r="V85">
        <f t="shared" si="83"/>
        <v>3.9472222222222229</v>
      </c>
      <c r="W85">
        <f t="shared" si="83"/>
        <v>3.9472222222222229</v>
      </c>
      <c r="X85">
        <f t="shared" si="83"/>
        <v>3.9472222222222229</v>
      </c>
      <c r="Y85">
        <f t="shared" si="83"/>
        <v>3.9472222222222229</v>
      </c>
      <c r="Z85">
        <f t="shared" si="83"/>
        <v>3.9472222222222229</v>
      </c>
      <c r="AA85">
        <f t="shared" si="83"/>
        <v>3.9472222222222229</v>
      </c>
      <c r="AB85">
        <f t="shared" si="83"/>
        <v>3.9472222222222229</v>
      </c>
      <c r="AC85">
        <f t="shared" si="83"/>
        <v>3.9472222222222229</v>
      </c>
      <c r="AD85">
        <f t="shared" si="83"/>
        <v>3.9472222222222229</v>
      </c>
      <c r="AE85">
        <f t="shared" si="83"/>
        <v>3.9472222222222229</v>
      </c>
      <c r="AF85">
        <f t="shared" si="83"/>
        <v>3.9472222222222229</v>
      </c>
      <c r="AG85">
        <f t="shared" si="83"/>
        <v>3.9472222222222229</v>
      </c>
      <c r="AH85">
        <f t="shared" si="83"/>
        <v>3.9472222222222229</v>
      </c>
      <c r="AI85">
        <f t="shared" si="83"/>
        <v>3.9472222222222229</v>
      </c>
      <c r="AJ85">
        <f t="shared" si="83"/>
        <v>3.9472222222222229</v>
      </c>
      <c r="AK85">
        <f t="shared" si="83"/>
        <v>3.9472222222222229</v>
      </c>
      <c r="AL85">
        <f t="shared" si="83"/>
        <v>3.9472222222222229</v>
      </c>
      <c r="AM85">
        <f t="shared" si="83"/>
        <v>3.9472222222222229</v>
      </c>
      <c r="AN85">
        <f t="shared" si="83"/>
        <v>3.9472222222222229</v>
      </c>
      <c r="AO85">
        <f t="shared" si="83"/>
        <v>3.9472222222222229</v>
      </c>
      <c r="AP85">
        <f t="shared" si="83"/>
        <v>3.9472222222222229</v>
      </c>
      <c r="AQ85">
        <f t="shared" si="83"/>
        <v>3.9472222222222229</v>
      </c>
      <c r="AR85">
        <f t="shared" si="83"/>
        <v>3.9472222222222229</v>
      </c>
      <c r="AS85">
        <f t="shared" si="83"/>
        <v>3.9472222222222229</v>
      </c>
      <c r="AT85">
        <f t="shared" si="83"/>
        <v>3.9472222222222229</v>
      </c>
      <c r="AU85">
        <f t="shared" si="83"/>
        <v>3.9472222222222229</v>
      </c>
      <c r="AV85">
        <f t="shared" si="83"/>
        <v>3.9472222222222229</v>
      </c>
      <c r="AW85">
        <f t="shared" si="83"/>
        <v>3.9472222222222229</v>
      </c>
      <c r="AX85">
        <f t="shared" si="83"/>
        <v>3.9472222222222229</v>
      </c>
      <c r="AY85">
        <f t="shared" si="83"/>
        <v>3.9472222222222229</v>
      </c>
      <c r="AZ85">
        <f t="shared" si="83"/>
        <v>3.9472222222222229</v>
      </c>
      <c r="BA85">
        <f t="shared" si="83"/>
        <v>3.9472222222222229</v>
      </c>
      <c r="BB85">
        <f t="shared" si="83"/>
        <v>3.9472222222222229</v>
      </c>
      <c r="BC85">
        <f t="shared" si="83"/>
        <v>3.9472222222222229</v>
      </c>
      <c r="BD85">
        <f t="shared" si="83"/>
        <v>3.9472222222222229</v>
      </c>
      <c r="BE85">
        <f t="shared" si="83"/>
        <v>3.9472222222222229</v>
      </c>
      <c r="BF85">
        <f t="shared" si="83"/>
        <v>3.9472222222222229</v>
      </c>
      <c r="BG85">
        <f t="shared" si="83"/>
        <v>3.9472222222222229</v>
      </c>
      <c r="BH85">
        <f t="shared" si="83"/>
        <v>3.9472222222222229</v>
      </c>
      <c r="BI85">
        <f t="shared" si="83"/>
        <v>3.9472222222222229</v>
      </c>
      <c r="BJ85">
        <f t="shared" si="83"/>
        <v>3.9472222222222229</v>
      </c>
      <c r="BK85">
        <f t="shared" si="83"/>
        <v>3.9472222222222229</v>
      </c>
      <c r="BL85">
        <f t="shared" si="83"/>
        <v>3.9472222222222229</v>
      </c>
      <c r="BM85">
        <f t="shared" si="83"/>
        <v>3.9472222222222229</v>
      </c>
      <c r="BN85">
        <f t="shared" si="83"/>
        <v>3.9472222222222229</v>
      </c>
      <c r="BO85">
        <f t="shared" ref="BO85:CW85" si="84">BO83-BO84</f>
        <v>3.9472222222222229</v>
      </c>
      <c r="BP85">
        <f t="shared" si="84"/>
        <v>3.9472222222222229</v>
      </c>
      <c r="BQ85">
        <f t="shared" si="84"/>
        <v>3.9472222222222229</v>
      </c>
      <c r="BR85">
        <f t="shared" si="84"/>
        <v>3.9472222222222229</v>
      </c>
      <c r="BS85">
        <f t="shared" si="84"/>
        <v>3.9472222222222229</v>
      </c>
      <c r="BT85">
        <f t="shared" si="84"/>
        <v>3.9472222222222229</v>
      </c>
      <c r="BU85">
        <f t="shared" si="84"/>
        <v>3.9472222222222229</v>
      </c>
      <c r="BV85">
        <f t="shared" si="84"/>
        <v>3.9472222222222229</v>
      </c>
      <c r="BW85">
        <f t="shared" si="84"/>
        <v>3.9472222222222229</v>
      </c>
      <c r="BX85">
        <f t="shared" si="84"/>
        <v>3.9472222222222229</v>
      </c>
      <c r="BY85">
        <f t="shared" si="84"/>
        <v>3.9472222222222229</v>
      </c>
      <c r="BZ85">
        <f t="shared" si="84"/>
        <v>3.9472222222222229</v>
      </c>
      <c r="CA85">
        <f t="shared" si="84"/>
        <v>3.9472222222222229</v>
      </c>
      <c r="CB85">
        <f t="shared" si="84"/>
        <v>3.9472222222222229</v>
      </c>
      <c r="CC85">
        <f t="shared" si="84"/>
        <v>3.9472222222222229</v>
      </c>
      <c r="CD85">
        <f t="shared" si="84"/>
        <v>3.9472222222222229</v>
      </c>
      <c r="CE85">
        <f t="shared" si="84"/>
        <v>3.9472222222222229</v>
      </c>
      <c r="CF85">
        <f t="shared" si="84"/>
        <v>3.9472222222222229</v>
      </c>
      <c r="CG85">
        <f t="shared" si="84"/>
        <v>3.9472222222222229</v>
      </c>
      <c r="CH85">
        <f t="shared" si="84"/>
        <v>3.9472222222222229</v>
      </c>
      <c r="CI85">
        <f t="shared" si="84"/>
        <v>3.9472222222222229</v>
      </c>
      <c r="CJ85">
        <f t="shared" si="84"/>
        <v>3.9472222222222229</v>
      </c>
      <c r="CK85">
        <f t="shared" si="84"/>
        <v>3.9472222222222229</v>
      </c>
      <c r="CL85">
        <f t="shared" si="84"/>
        <v>3.9472222222222229</v>
      </c>
      <c r="CM85">
        <f t="shared" si="84"/>
        <v>3.9472222222222229</v>
      </c>
      <c r="CN85">
        <f t="shared" si="84"/>
        <v>3.9472222222222229</v>
      </c>
      <c r="CO85">
        <f t="shared" si="84"/>
        <v>3.9472222222222229</v>
      </c>
      <c r="CP85">
        <f t="shared" si="84"/>
        <v>3.9472222222222229</v>
      </c>
      <c r="CQ85">
        <f t="shared" si="84"/>
        <v>3.9472222222222229</v>
      </c>
      <c r="CR85">
        <f t="shared" si="84"/>
        <v>3.9472222222222229</v>
      </c>
      <c r="CS85">
        <f t="shared" si="84"/>
        <v>3.9472222222222229</v>
      </c>
      <c r="CT85">
        <f t="shared" si="84"/>
        <v>3.9472222222222229</v>
      </c>
      <c r="CU85">
        <f t="shared" si="84"/>
        <v>3.9472222222222229</v>
      </c>
      <c r="CV85">
        <f t="shared" si="84"/>
        <v>3.9472222222222229</v>
      </c>
      <c r="CW85">
        <f t="shared" si="84"/>
        <v>3.9472222222222229</v>
      </c>
    </row>
  </sheetData>
  <pageMargins left="0.75" right="0.75" top="1" bottom="1" header="0.5" footer="0.5"/>
  <pageSetup paperSize="9" orientation="portrait"/>
  <ignoredErrors>
    <ignoredError sqref="A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I700"/>
  <sheetViews>
    <sheetView tabSelected="1" zoomScale="70" zoomScaleNormal="70" workbookViewId="0">
      <selection activeCell="AE6" sqref="AE6"/>
    </sheetView>
  </sheetViews>
  <sheetFormatPr defaultRowHeight="12.75" x14ac:dyDescent="0.2"/>
  <cols>
    <col min="1" max="1" width="3.42578125" style="17" customWidth="1"/>
    <col min="2" max="2" width="43.7109375" customWidth="1"/>
    <col min="3" max="3" width="19.5703125" customWidth="1"/>
    <col min="4" max="4" width="1.140625" customWidth="1"/>
    <col min="5" max="5" width="1.28515625" customWidth="1"/>
    <col min="6" max="6" width="8.85546875" customWidth="1"/>
    <col min="14" max="14" width="10.5703125" customWidth="1"/>
    <col min="21" max="21" width="3.7109375" customWidth="1"/>
    <col min="22" max="23" width="8.85546875" style="17"/>
    <col min="24" max="24" width="12.42578125" style="17" customWidth="1"/>
    <col min="25" max="25" width="17.28515625" style="17" customWidth="1"/>
    <col min="26" max="26" width="6.85546875" style="17" customWidth="1"/>
    <col min="27" max="35" width="8.85546875" style="17"/>
  </cols>
  <sheetData>
    <row r="1" spans="2:191" ht="13.5" thickBot="1" x14ac:dyDescent="0.25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2:191" s="17" customFormat="1" ht="48" customHeight="1" thickTop="1" thickBot="1" x14ac:dyDescent="0.25">
      <c r="B2" s="58" t="s">
        <v>204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60"/>
    </row>
    <row r="3" spans="2:191" ht="36.6" customHeight="1" thickTop="1" thickBot="1" x14ac:dyDescent="0.3">
      <c r="B3" s="46" t="s">
        <v>175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V3" s="39"/>
      <c r="W3" s="40"/>
      <c r="X3" s="41" t="s">
        <v>174</v>
      </c>
      <c r="Y3" s="41" t="str">
        <f>P121</f>
        <v>Average</v>
      </c>
      <c r="Z3" s="40"/>
      <c r="AA3" s="40"/>
      <c r="AB3" s="40"/>
      <c r="AC3" s="42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</row>
    <row r="4" spans="2:191" ht="63.75" customHeight="1" thickTop="1" x14ac:dyDescent="0.2">
      <c r="B4" s="32" t="s">
        <v>165</v>
      </c>
      <c r="C4" s="49">
        <v>60</v>
      </c>
      <c r="D4" s="49"/>
      <c r="E4" s="5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0"/>
      <c r="V4" s="35"/>
      <c r="W4" s="35"/>
      <c r="X4" s="35"/>
      <c r="Y4" s="35"/>
      <c r="Z4" s="35"/>
      <c r="AA4" s="35"/>
      <c r="AB4" s="35"/>
      <c r="AC4" s="36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</row>
    <row r="5" spans="2:191" ht="63.75" customHeight="1" x14ac:dyDescent="0.2">
      <c r="B5" s="33" t="s">
        <v>202</v>
      </c>
      <c r="C5" s="51">
        <f>F5/10</f>
        <v>72.099999999999994</v>
      </c>
      <c r="D5" s="51"/>
      <c r="E5" s="52"/>
      <c r="F5" s="21">
        <v>721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0"/>
      <c r="V5" s="35"/>
      <c r="W5" s="35"/>
      <c r="X5" s="35"/>
      <c r="Y5" s="35"/>
      <c r="Z5" s="35"/>
      <c r="AA5" s="35"/>
      <c r="AB5" s="35"/>
      <c r="AC5" s="36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</row>
    <row r="6" spans="2:191" ht="63.75" customHeight="1" x14ac:dyDescent="0.2">
      <c r="B6" s="33" t="s">
        <v>172</v>
      </c>
      <c r="C6" s="53">
        <v>36</v>
      </c>
      <c r="D6" s="53"/>
      <c r="E6" s="54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0"/>
      <c r="V6" s="35"/>
      <c r="W6" s="35"/>
      <c r="X6" s="35"/>
      <c r="Y6" s="35"/>
      <c r="Z6" s="35"/>
      <c r="AA6" s="35"/>
      <c r="AB6" s="35"/>
      <c r="AC6" s="36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</row>
    <row r="7" spans="2:191" ht="63.75" customHeight="1" x14ac:dyDescent="0.2">
      <c r="B7" s="34" t="s">
        <v>173</v>
      </c>
      <c r="C7" s="55">
        <f>MAX(C6,F7)</f>
        <v>41</v>
      </c>
      <c r="D7" s="55"/>
      <c r="E7" s="56"/>
      <c r="F7" s="22">
        <v>41</v>
      </c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0"/>
      <c r="V7" s="35"/>
      <c r="W7" s="35"/>
      <c r="X7" s="35"/>
      <c r="Y7" s="35"/>
      <c r="Z7" s="35"/>
      <c r="AA7" s="35"/>
      <c r="AB7" s="35"/>
      <c r="AC7" s="36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</row>
    <row r="8" spans="2:191" ht="29.45" customHeight="1" x14ac:dyDescent="0.25">
      <c r="B8" s="23" t="s">
        <v>174</v>
      </c>
      <c r="C8" s="24">
        <f>Q81</f>
        <v>1</v>
      </c>
      <c r="D8" s="25"/>
      <c r="E8" s="25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0"/>
      <c r="V8" s="35"/>
      <c r="W8" s="35"/>
      <c r="X8" s="35"/>
      <c r="Y8" s="35"/>
      <c r="Z8" s="35"/>
      <c r="AA8" s="35"/>
      <c r="AB8" s="35"/>
      <c r="AC8" s="36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</row>
    <row r="9" spans="2:191" ht="26.25" customHeight="1" x14ac:dyDescent="0.2">
      <c r="B9" s="26"/>
      <c r="C9" s="27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0"/>
      <c r="V9" s="35"/>
      <c r="W9" s="35"/>
      <c r="X9" s="35"/>
      <c r="Y9" s="35"/>
      <c r="Z9" s="35"/>
      <c r="AA9" s="35"/>
      <c r="AB9" s="35"/>
      <c r="AC9" s="3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</row>
    <row r="10" spans="2:191" ht="26.25" customHeight="1" x14ac:dyDescent="0.2">
      <c r="B10" s="26"/>
      <c r="C10" s="27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20"/>
      <c r="V10" s="35"/>
      <c r="W10" s="35"/>
      <c r="X10" s="35"/>
      <c r="Y10" s="35"/>
      <c r="Z10" s="35"/>
      <c r="AA10" s="35"/>
      <c r="AB10" s="35"/>
      <c r="AC10" s="36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</row>
    <row r="11" spans="2:191" ht="26.25" customHeight="1" x14ac:dyDescent="0.2">
      <c r="B11" s="26"/>
      <c r="C11" s="27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20"/>
      <c r="V11" s="35"/>
      <c r="W11" s="35"/>
      <c r="X11" s="35"/>
      <c r="Y11" s="35"/>
      <c r="Z11" s="35"/>
      <c r="AA11" s="35"/>
      <c r="AB11" s="35"/>
      <c r="AC11" s="36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</row>
    <row r="12" spans="2:191" ht="26.25" customHeight="1" x14ac:dyDescent="0.2">
      <c r="B12" s="26"/>
      <c r="C12" s="27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20"/>
      <c r="V12" s="35"/>
      <c r="W12" s="35"/>
      <c r="X12" s="35"/>
      <c r="Y12" s="35"/>
      <c r="Z12" s="35"/>
      <c r="AA12" s="35"/>
      <c r="AB12" s="35"/>
      <c r="AC12" s="36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</row>
    <row r="13" spans="2:191" ht="26.25" customHeight="1" x14ac:dyDescent="0.2">
      <c r="B13" s="26"/>
      <c r="C13" s="27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20"/>
      <c r="V13" s="35"/>
      <c r="W13" s="35"/>
      <c r="X13" s="35"/>
      <c r="Y13" s="35"/>
      <c r="Z13" s="35"/>
      <c r="AA13" s="35"/>
      <c r="AB13" s="35"/>
      <c r="AC13" s="36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</row>
    <row r="14" spans="2:191" ht="26.25" customHeight="1" x14ac:dyDescent="0.2">
      <c r="B14" s="26"/>
      <c r="C14" s="27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0"/>
      <c r="V14" s="35"/>
      <c r="W14" s="35"/>
      <c r="X14" s="35"/>
      <c r="Y14" s="35"/>
      <c r="Z14" s="35"/>
      <c r="AA14" s="35"/>
      <c r="AB14" s="35"/>
      <c r="AC14" s="3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</row>
    <row r="15" spans="2:191" ht="26.25" customHeight="1" x14ac:dyDescent="0.2">
      <c r="B15" s="26"/>
      <c r="C15" s="27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0"/>
      <c r="V15" s="35"/>
      <c r="W15" s="35"/>
      <c r="X15" s="35"/>
      <c r="Y15" s="35"/>
      <c r="Z15" s="35"/>
      <c r="AA15" s="35"/>
      <c r="AB15" s="35"/>
      <c r="AC15" s="36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</row>
    <row r="16" spans="2:191" ht="26.25" customHeight="1" x14ac:dyDescent="0.2">
      <c r="B16" s="26"/>
      <c r="C16" s="27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0"/>
      <c r="V16" s="35"/>
      <c r="W16" s="35"/>
      <c r="X16" s="35"/>
      <c r="Y16" s="35"/>
      <c r="Z16" s="35"/>
      <c r="AA16" s="35"/>
      <c r="AB16" s="35"/>
      <c r="AC16" s="36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</row>
    <row r="17" spans="2:191" ht="26.25" customHeight="1" x14ac:dyDescent="0.2">
      <c r="B17" s="26"/>
      <c r="C17" s="27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0"/>
      <c r="V17" s="35"/>
      <c r="W17" s="35"/>
      <c r="X17" s="35"/>
      <c r="Y17" s="35"/>
      <c r="Z17" s="35"/>
      <c r="AA17" s="35"/>
      <c r="AB17" s="35"/>
      <c r="AC17" s="36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</row>
    <row r="18" spans="2:191" ht="26.25" customHeight="1" x14ac:dyDescent="0.2">
      <c r="B18" s="26"/>
      <c r="C18" s="27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0"/>
      <c r="V18" s="35"/>
      <c r="W18" s="35"/>
      <c r="X18" s="35"/>
      <c r="Y18" s="35"/>
      <c r="Z18" s="35"/>
      <c r="AA18" s="35"/>
      <c r="AB18" s="35"/>
      <c r="AC18" s="36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</row>
    <row r="19" spans="2:191" ht="26.25" customHeight="1" x14ac:dyDescent="0.2">
      <c r="B19" s="26"/>
      <c r="C19" s="27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0"/>
      <c r="V19" s="35"/>
      <c r="W19" s="35"/>
      <c r="X19" s="35"/>
      <c r="Y19" s="35"/>
      <c r="Z19" s="35"/>
      <c r="AA19" s="35"/>
      <c r="AB19" s="35"/>
      <c r="AC19" s="36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</row>
    <row r="20" spans="2:191" ht="26.25" customHeight="1" thickBot="1" x14ac:dyDescent="0.25">
      <c r="B20" s="28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1"/>
      <c r="V20" s="37"/>
      <c r="W20" s="37"/>
      <c r="X20" s="37"/>
      <c r="Y20" s="37"/>
      <c r="Z20" s="37"/>
      <c r="AA20" s="37"/>
      <c r="AB20" s="37"/>
      <c r="AC20" s="38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</row>
    <row r="21" spans="2:191" s="17" customFormat="1" ht="13.5" thickTop="1" x14ac:dyDescent="0.2">
      <c r="C21" s="18"/>
    </row>
    <row r="22" spans="2:191" s="17" customFormat="1" x14ac:dyDescent="0.2">
      <c r="C22" s="18"/>
    </row>
    <row r="23" spans="2:191" s="17" customFormat="1" x14ac:dyDescent="0.2">
      <c r="C23" s="18"/>
    </row>
    <row r="24" spans="2:191" s="17" customFormat="1" x14ac:dyDescent="0.2">
      <c r="C24" s="18"/>
    </row>
    <row r="25" spans="2:191" s="17" customFormat="1" x14ac:dyDescent="0.2">
      <c r="C25" s="18"/>
    </row>
    <row r="26" spans="2:191" s="17" customFormat="1" x14ac:dyDescent="0.2">
      <c r="C26" s="18"/>
    </row>
    <row r="27" spans="2:191" s="17" customFormat="1" x14ac:dyDescent="0.2">
      <c r="C27" s="18"/>
    </row>
    <row r="28" spans="2:191" s="17" customFormat="1" x14ac:dyDescent="0.2">
      <c r="C28" s="18"/>
    </row>
    <row r="29" spans="2:191" s="17" customFormat="1" x14ac:dyDescent="0.2">
      <c r="C29" s="18"/>
    </row>
    <row r="30" spans="2:191" s="17" customFormat="1" x14ac:dyDescent="0.2">
      <c r="C30" s="18"/>
    </row>
    <row r="31" spans="2:191" s="17" customFormat="1" x14ac:dyDescent="0.2">
      <c r="C31" s="18"/>
    </row>
    <row r="32" spans="2:191" s="17" customFormat="1" x14ac:dyDescent="0.2">
      <c r="C32" s="18"/>
    </row>
    <row r="33" spans="3:3" s="17" customFormat="1" x14ac:dyDescent="0.2">
      <c r="C33" s="18"/>
    </row>
    <row r="34" spans="3:3" s="17" customFormat="1" x14ac:dyDescent="0.2">
      <c r="C34" s="18"/>
    </row>
    <row r="35" spans="3:3" s="17" customFormat="1" x14ac:dyDescent="0.2">
      <c r="C35" s="18"/>
    </row>
    <row r="36" spans="3:3" s="17" customFormat="1" x14ac:dyDescent="0.2">
      <c r="C36" s="18"/>
    </row>
    <row r="37" spans="3:3" s="17" customFormat="1" x14ac:dyDescent="0.2">
      <c r="C37" s="18"/>
    </row>
    <row r="38" spans="3:3" s="17" customFormat="1" x14ac:dyDescent="0.2">
      <c r="C38" s="18"/>
    </row>
    <row r="39" spans="3:3" s="17" customFormat="1" x14ac:dyDescent="0.2">
      <c r="C39" s="18"/>
    </row>
    <row r="40" spans="3:3" s="17" customFormat="1" x14ac:dyDescent="0.2">
      <c r="C40" s="18"/>
    </row>
    <row r="41" spans="3:3" s="17" customFormat="1" x14ac:dyDescent="0.2">
      <c r="C41" s="18"/>
    </row>
    <row r="42" spans="3:3" s="17" customFormat="1" x14ac:dyDescent="0.2">
      <c r="C42" s="18"/>
    </row>
    <row r="43" spans="3:3" s="17" customFormat="1" x14ac:dyDescent="0.2">
      <c r="C43" s="18"/>
    </row>
    <row r="44" spans="3:3" s="17" customFormat="1" x14ac:dyDescent="0.2">
      <c r="C44" s="18"/>
    </row>
    <row r="45" spans="3:3" s="17" customFormat="1" x14ac:dyDescent="0.2">
      <c r="C45" s="18"/>
    </row>
    <row r="46" spans="3:3" s="17" customFormat="1" x14ac:dyDescent="0.2">
      <c r="C46" s="18"/>
    </row>
    <row r="47" spans="3:3" s="17" customFormat="1" x14ac:dyDescent="0.2">
      <c r="C47" s="18"/>
    </row>
    <row r="48" spans="3:3" s="17" customFormat="1" x14ac:dyDescent="0.2">
      <c r="C48" s="18"/>
    </row>
    <row r="49" spans="3:3" s="17" customFormat="1" x14ac:dyDescent="0.2">
      <c r="C49" s="18"/>
    </row>
    <row r="50" spans="3:3" s="17" customFormat="1" x14ac:dyDescent="0.2">
      <c r="C50" s="18"/>
    </row>
    <row r="51" spans="3:3" s="17" customFormat="1" x14ac:dyDescent="0.2">
      <c r="C51" s="18"/>
    </row>
    <row r="52" spans="3:3" s="17" customFormat="1" x14ac:dyDescent="0.2">
      <c r="C52" s="18"/>
    </row>
    <row r="53" spans="3:3" s="17" customFormat="1" x14ac:dyDescent="0.2">
      <c r="C53" s="18"/>
    </row>
    <row r="54" spans="3:3" s="17" customFormat="1" x14ac:dyDescent="0.2">
      <c r="C54" s="18"/>
    </row>
    <row r="55" spans="3:3" s="17" customFormat="1" x14ac:dyDescent="0.2">
      <c r="C55" s="18"/>
    </row>
    <row r="56" spans="3:3" s="17" customFormat="1" x14ac:dyDescent="0.2">
      <c r="C56" s="18"/>
    </row>
    <row r="57" spans="3:3" s="17" customFormat="1" x14ac:dyDescent="0.2">
      <c r="C57" s="18"/>
    </row>
    <row r="58" spans="3:3" s="17" customFormat="1" x14ac:dyDescent="0.2">
      <c r="C58" s="18"/>
    </row>
    <row r="59" spans="3:3" s="17" customFormat="1" x14ac:dyDescent="0.2">
      <c r="C59" s="18"/>
    </row>
    <row r="60" spans="3:3" s="17" customFormat="1" x14ac:dyDescent="0.2">
      <c r="C60" s="18"/>
    </row>
    <row r="61" spans="3:3" s="17" customFormat="1" x14ac:dyDescent="0.2">
      <c r="C61" s="18"/>
    </row>
    <row r="62" spans="3:3" s="17" customFormat="1" x14ac:dyDescent="0.2">
      <c r="C62" s="18"/>
    </row>
    <row r="63" spans="3:3" s="17" customFormat="1" x14ac:dyDescent="0.2">
      <c r="C63" s="18"/>
    </row>
    <row r="64" spans="3:3" s="17" customFormat="1" x14ac:dyDescent="0.2">
      <c r="C64" s="18"/>
    </row>
    <row r="65" spans="2:35" s="17" customFormat="1" x14ac:dyDescent="0.2">
      <c r="C65" s="18"/>
      <c r="AA65" s="18"/>
    </row>
    <row r="66" spans="2:35" s="17" customFormat="1" x14ac:dyDescent="0.2">
      <c r="C66" s="18"/>
      <c r="AA66" s="18"/>
    </row>
    <row r="67" spans="2:35" s="17" customFormat="1" x14ac:dyDescent="0.2">
      <c r="C67" s="18"/>
    </row>
    <row r="68" spans="2:35" s="17" customFormat="1" x14ac:dyDescent="0.2">
      <c r="C68" s="18"/>
    </row>
    <row r="69" spans="2:35" x14ac:dyDescent="0.2">
      <c r="C69" s="3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2:35" x14ac:dyDescent="0.2">
      <c r="C70" s="3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2:35" x14ac:dyDescent="0.2">
      <c r="C71" s="3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2:35" x14ac:dyDescent="0.2">
      <c r="C72" s="3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2:35" x14ac:dyDescent="0.2">
      <c r="C73" s="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2:35" x14ac:dyDescent="0.2">
      <c r="C74" s="3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2:35" x14ac:dyDescent="0.2">
      <c r="C75" s="3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2:35" x14ac:dyDescent="0.2">
      <c r="C76" s="3" t="s">
        <v>14</v>
      </c>
      <c r="D76">
        <f>C4/12</f>
        <v>5</v>
      </c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2:35" x14ac:dyDescent="0.2">
      <c r="C77" s="3" t="s">
        <v>158</v>
      </c>
      <c r="D77">
        <f>C4/36</f>
        <v>1.6666666666666667</v>
      </c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2:35" x14ac:dyDescent="0.2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2:35" x14ac:dyDescent="0.2">
      <c r="B79" s="3" t="s">
        <v>8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  <c r="J79">
        <v>8</v>
      </c>
      <c r="K79">
        <v>9</v>
      </c>
      <c r="L79">
        <v>10</v>
      </c>
      <c r="M79">
        <v>11</v>
      </c>
      <c r="N79">
        <v>12</v>
      </c>
      <c r="O79" s="3" t="s">
        <v>10</v>
      </c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2:35" x14ac:dyDescent="0.2">
      <c r="B80" s="3" t="s">
        <v>11</v>
      </c>
      <c r="C80" s="6">
        <v>0.77036966666666673</v>
      </c>
      <c r="D80" s="6">
        <v>0.76957999999999993</v>
      </c>
      <c r="E80" s="6">
        <v>0.76764766666666684</v>
      </c>
      <c r="F80" s="6">
        <v>0.76772099999999954</v>
      </c>
      <c r="G80" s="6">
        <v>0.77074399999999987</v>
      </c>
      <c r="H80" s="6">
        <v>0.77247366666666661</v>
      </c>
      <c r="I80" s="6">
        <v>0.76894700000000005</v>
      </c>
      <c r="J80" s="6">
        <v>0.77081833333333349</v>
      </c>
      <c r="K80" s="6">
        <v>0.77524000000000004</v>
      </c>
      <c r="L80" s="6">
        <v>0.77131299999999992</v>
      </c>
      <c r="M80" s="6">
        <v>0.76998866666666654</v>
      </c>
      <c r="N80" s="6">
        <v>0.76603133333333373</v>
      </c>
      <c r="R80" s="3" t="s">
        <v>164</v>
      </c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2:38" x14ac:dyDescent="0.2">
      <c r="B81" s="3" t="s">
        <v>9</v>
      </c>
      <c r="C81" s="2">
        <f t="shared" ref="C81:N81" si="0">IF(C80&gt;$C$5,$D$76,0)</f>
        <v>0</v>
      </c>
      <c r="D81" s="2">
        <f t="shared" si="0"/>
        <v>0</v>
      </c>
      <c r="E81" s="2">
        <f t="shared" si="0"/>
        <v>0</v>
      </c>
      <c r="F81" s="2">
        <f t="shared" si="0"/>
        <v>0</v>
      </c>
      <c r="G81" s="2">
        <f t="shared" si="0"/>
        <v>0</v>
      </c>
      <c r="H81" s="2">
        <f t="shared" si="0"/>
        <v>0</v>
      </c>
      <c r="I81" s="2">
        <f t="shared" si="0"/>
        <v>0</v>
      </c>
      <c r="J81" s="2">
        <f t="shared" si="0"/>
        <v>0</v>
      </c>
      <c r="K81" s="2">
        <f t="shared" si="0"/>
        <v>0</v>
      </c>
      <c r="L81" s="2">
        <f t="shared" si="0"/>
        <v>0</v>
      </c>
      <c r="M81" s="2">
        <f t="shared" si="0"/>
        <v>0</v>
      </c>
      <c r="N81" s="2">
        <f t="shared" si="0"/>
        <v>0</v>
      </c>
      <c r="O81" s="2">
        <f>SUM(C81:N81)</f>
        <v>0</v>
      </c>
      <c r="Q81">
        <v>1</v>
      </c>
      <c r="R81">
        <f>INDEX(Total_Monthly_Award_Fee,$Q$81)</f>
        <v>54.999999999999979</v>
      </c>
      <c r="S81" s="3" t="s">
        <v>6</v>
      </c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2:38" ht="13.5" thickBot="1" x14ac:dyDescent="0.25">
      <c r="B82" s="3"/>
      <c r="C82" s="2" t="s">
        <v>15</v>
      </c>
      <c r="D82" s="2" t="s">
        <v>16</v>
      </c>
      <c r="E82" s="2" t="s">
        <v>17</v>
      </c>
      <c r="F82" s="2" t="s">
        <v>18</v>
      </c>
      <c r="G82" s="2" t="s">
        <v>19</v>
      </c>
      <c r="H82" s="2" t="s">
        <v>20</v>
      </c>
      <c r="I82" s="2" t="s">
        <v>21</v>
      </c>
      <c r="J82" s="2" t="s">
        <v>22</v>
      </c>
      <c r="K82" s="2" t="s">
        <v>23</v>
      </c>
      <c r="L82" s="2" t="s">
        <v>24</v>
      </c>
      <c r="M82" s="2" t="s">
        <v>25</v>
      </c>
      <c r="N82" s="2" t="s">
        <v>26</v>
      </c>
      <c r="O82" s="2"/>
      <c r="R82">
        <f>INDEX(Total_Quartery_Award_Fee,$Q$81)</f>
        <v>60</v>
      </c>
      <c r="S82" s="3" t="s">
        <v>7</v>
      </c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2:38" ht="13.5" thickBot="1" x14ac:dyDescent="0.25">
      <c r="B83" s="3" t="s">
        <v>12</v>
      </c>
      <c r="C83" s="8">
        <f>INDEX( [0]!Q_1, PM_Index )</f>
        <v>77.343333333333334</v>
      </c>
      <c r="D83" s="9">
        <f>INDEX( [0]!Q_2, PM_Index )</f>
        <v>80.523333333333326</v>
      </c>
      <c r="E83" s="9">
        <f>INDEX( [0]!Q_3, PM_Index )</f>
        <v>78.986666666666665</v>
      </c>
      <c r="F83" s="9">
        <f>INDEX( [0]!Q_4, PM_Index )</f>
        <v>77.943333333333328</v>
      </c>
      <c r="G83" s="9">
        <f>INDEX( [0]!Q_5, PM_Index )</f>
        <v>78.069999999999993</v>
      </c>
      <c r="H83" s="9">
        <f>INDEX( [0]!Q_6, PM_Index )</f>
        <v>82.186666666666667</v>
      </c>
      <c r="I83" s="9">
        <f>INDEX( [0]!Q_7, PM_Index )</f>
        <v>74.399999999999991</v>
      </c>
      <c r="J83" s="9">
        <f>INDEX( [0]!Q_8, PM_Index )</f>
        <v>76.163333333333341</v>
      </c>
      <c r="K83" s="9">
        <f>INDEX( [0]!Q_9, PM_Index )</f>
        <v>79.066666666666663</v>
      </c>
      <c r="L83" s="9">
        <f>INDEX( [0]!Q_10, PM_Index )</f>
        <v>78.966666666666683</v>
      </c>
      <c r="M83" s="9">
        <f>INDEX( [0]!Q_11, PM_Index )</f>
        <v>73.453333333333333</v>
      </c>
      <c r="N83" s="9">
        <f>INDEX( [0]!Q_12, PM_Index )</f>
        <v>73.173333333333332</v>
      </c>
      <c r="O83" s="2"/>
      <c r="R83">
        <f>INDEX(Total_Roling_Qtrly_Awrd_Fee,$Q$81)</f>
        <v>60</v>
      </c>
      <c r="S83" s="3" t="s">
        <v>159</v>
      </c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2:38" ht="13.5" thickBot="1" x14ac:dyDescent="0.25">
      <c r="B84" s="3"/>
      <c r="C84" s="16" t="s">
        <v>32</v>
      </c>
      <c r="D84" s="16" t="s">
        <v>33</v>
      </c>
      <c r="E84" s="16" t="s">
        <v>34</v>
      </c>
      <c r="F84" s="16" t="s">
        <v>35</v>
      </c>
      <c r="G84" s="16" t="s">
        <v>36</v>
      </c>
      <c r="H84" s="16" t="s">
        <v>37</v>
      </c>
      <c r="I84" s="16" t="s">
        <v>38</v>
      </c>
      <c r="J84" s="16" t="s">
        <v>39</v>
      </c>
      <c r="K84" s="16" t="s">
        <v>40</v>
      </c>
      <c r="L84" s="16" t="s">
        <v>41</v>
      </c>
      <c r="M84" s="16" t="s">
        <v>42</v>
      </c>
      <c r="N84" s="16" t="s">
        <v>43</v>
      </c>
      <c r="O84" s="4" t="s">
        <v>56</v>
      </c>
      <c r="R84">
        <f>INDEX(TYA_AF,$Q$81)</f>
        <v>60</v>
      </c>
      <c r="S84" s="3" t="s">
        <v>166</v>
      </c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2:38" ht="13.5" thickBot="1" x14ac:dyDescent="0.25">
      <c r="B85" s="3" t="s">
        <v>13</v>
      </c>
      <c r="C85" s="8">
        <f>IF(C83&gt;$C$5,$D$76,0)</f>
        <v>5</v>
      </c>
      <c r="D85" s="8">
        <f>IF(L83&gt;$C$5,$D$76,0)</f>
        <v>5</v>
      </c>
      <c r="E85" s="8">
        <f>IF(M83&gt;$C$5,$D$76,0)</f>
        <v>5</v>
      </c>
      <c r="F85" s="8">
        <f>IF(N83&gt;$C$5,$D$76,0)</f>
        <v>5</v>
      </c>
      <c r="G85" s="8">
        <f t="shared" ref="G85:N85" si="1">IF(D83&gt;$C$5,$D$76,0)</f>
        <v>5</v>
      </c>
      <c r="H85" s="8">
        <f t="shared" si="1"/>
        <v>5</v>
      </c>
      <c r="I85" s="8">
        <f t="shared" si="1"/>
        <v>5</v>
      </c>
      <c r="J85" s="8">
        <f t="shared" si="1"/>
        <v>5</v>
      </c>
      <c r="K85" s="8">
        <f t="shared" si="1"/>
        <v>5</v>
      </c>
      <c r="L85" s="8">
        <f t="shared" si="1"/>
        <v>5</v>
      </c>
      <c r="M85" s="8">
        <f t="shared" si="1"/>
        <v>5</v>
      </c>
      <c r="N85" s="8">
        <f t="shared" si="1"/>
        <v>5</v>
      </c>
      <c r="O85" s="8">
        <f t="shared" ref="O85" si="2">SUM(C85:N85)</f>
        <v>60</v>
      </c>
      <c r="R85" s="3" t="s">
        <v>160</v>
      </c>
      <c r="V85" t="s">
        <v>162</v>
      </c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2:38" x14ac:dyDescent="0.2">
      <c r="C86" s="2"/>
      <c r="R86">
        <f>AVERAGE(Total_Monthly_Award_Fee)</f>
        <v>55.399999999999984</v>
      </c>
      <c r="S86" s="3" t="s">
        <v>6</v>
      </c>
      <c r="V86">
        <f>MIN(Total_Monthly_Award_Fee)</f>
        <v>46.666666666666657</v>
      </c>
      <c r="W86" t="s">
        <v>6</v>
      </c>
      <c r="X86"/>
      <c r="Y86"/>
      <c r="Z86"/>
      <c r="AA86"/>
      <c r="AB86"/>
      <c r="AC86"/>
      <c r="AD86"/>
      <c r="AE86"/>
      <c r="AF86"/>
      <c r="AG86"/>
      <c r="AH86"/>
      <c r="AI86"/>
    </row>
    <row r="87" spans="2:38" x14ac:dyDescent="0.2">
      <c r="C87" s="2"/>
      <c r="O87" s="2"/>
      <c r="R87" s="2">
        <f>AVERAGE(Total_Quartery_Award_Fee)</f>
        <v>58.25</v>
      </c>
      <c r="S87" s="3" t="s">
        <v>7</v>
      </c>
      <c r="V87">
        <f>MIN(Total_Quartery_Award_Fee)</f>
        <v>50</v>
      </c>
      <c r="W87" t="s">
        <v>7</v>
      </c>
      <c r="X87"/>
      <c r="Y87"/>
      <c r="Z87"/>
      <c r="AA87"/>
      <c r="AB87"/>
      <c r="AC87"/>
      <c r="AD87"/>
      <c r="AE87"/>
      <c r="AF87"/>
      <c r="AG87"/>
      <c r="AH87"/>
      <c r="AI87"/>
    </row>
    <row r="88" spans="2:38" x14ac:dyDescent="0.2">
      <c r="C88" s="2"/>
      <c r="O88" s="2"/>
      <c r="R88">
        <f>AVERAGE(Total_Roling_Qtrly_Awrd_Fee)</f>
        <v>59.3</v>
      </c>
      <c r="S88" s="3" t="s">
        <v>159</v>
      </c>
      <c r="V88">
        <f>MIN(Total_Roling_Qtrly_Awrd_Fee)</f>
        <v>50</v>
      </c>
      <c r="W88" t="s">
        <v>159</v>
      </c>
      <c r="X88"/>
      <c r="Y88"/>
      <c r="Z88"/>
      <c r="AA88"/>
      <c r="AB88"/>
      <c r="AC88"/>
      <c r="AD88"/>
      <c r="AE88"/>
      <c r="AF88"/>
      <c r="AG88"/>
      <c r="AH88"/>
      <c r="AI88"/>
    </row>
    <row r="89" spans="2:38" x14ac:dyDescent="0.2">
      <c r="C89" s="2"/>
      <c r="O89" s="2"/>
      <c r="R89">
        <f>AVERAGE(TYA_AF)</f>
        <v>60</v>
      </c>
      <c r="S89" s="3" t="s">
        <v>166</v>
      </c>
      <c r="V89">
        <f>MIN(TYA_AF)</f>
        <v>60</v>
      </c>
      <c r="W89" t="s">
        <v>166</v>
      </c>
      <c r="X89"/>
      <c r="Y89"/>
      <c r="Z89"/>
      <c r="AA89"/>
      <c r="AB89"/>
      <c r="AC89"/>
      <c r="AD89"/>
      <c r="AE89"/>
      <c r="AF89"/>
      <c r="AG89"/>
      <c r="AH89"/>
      <c r="AI89"/>
    </row>
    <row r="90" spans="2:38" ht="13.5" thickBot="1" x14ac:dyDescent="0.25">
      <c r="C90" s="4" t="s">
        <v>58</v>
      </c>
      <c r="D90" t="s">
        <v>72</v>
      </c>
      <c r="E90" t="s">
        <v>73</v>
      </c>
      <c r="F90" t="s">
        <v>74</v>
      </c>
      <c r="G90" t="s">
        <v>75</v>
      </c>
      <c r="H90" t="s">
        <v>76</v>
      </c>
      <c r="I90" t="s">
        <v>77</v>
      </c>
      <c r="J90" t="s">
        <v>78</v>
      </c>
      <c r="K90" t="s">
        <v>79</v>
      </c>
      <c r="L90" t="s">
        <v>80</v>
      </c>
      <c r="M90" t="s">
        <v>81</v>
      </c>
      <c r="N90" t="s">
        <v>82</v>
      </c>
      <c r="R90" s="3" t="s">
        <v>161</v>
      </c>
      <c r="V90" t="s">
        <v>163</v>
      </c>
      <c r="W90"/>
      <c r="X90"/>
      <c r="Y90"/>
      <c r="Z90" t="s">
        <v>171</v>
      </c>
      <c r="AA90"/>
      <c r="AB90"/>
      <c r="AC90"/>
      <c r="AD90"/>
      <c r="AE90"/>
      <c r="AF90"/>
      <c r="AG90"/>
      <c r="AH90"/>
      <c r="AI90"/>
    </row>
    <row r="91" spans="2:38" ht="13.5" thickBot="1" x14ac:dyDescent="0.25">
      <c r="B91" s="3" t="s">
        <v>12</v>
      </c>
      <c r="C91" s="8">
        <f>INDEX( [0]!RQ_1, PM_Index )</f>
        <v>77.343333333333334</v>
      </c>
      <c r="D91" s="9">
        <f>INDEX( [0]!RQ_2, PM_Index )</f>
        <v>78.933333333333337</v>
      </c>
      <c r="E91" s="9">
        <f>INDEX( [0]!RQ_3, PM_Index )</f>
        <v>79.754999999999995</v>
      </c>
      <c r="F91" s="9">
        <f>INDEX( [0]!RQ_4, PM_Index )</f>
        <v>78.465000000000003</v>
      </c>
      <c r="G91" s="9">
        <f>INDEX( [0]!RQ_5, PM_Index )</f>
        <v>78.006666666666661</v>
      </c>
      <c r="H91" s="9">
        <f>INDEX( [0]!RQ_6, PM_Index )</f>
        <v>80.12833333333333</v>
      </c>
      <c r="I91" s="9">
        <f>INDEX( [0]!RQ_7, PM_Index )</f>
        <v>78.293333333333322</v>
      </c>
      <c r="J91" s="9">
        <f>INDEX( [0]!RQ_8, PM_Index )</f>
        <v>75.281666666666666</v>
      </c>
      <c r="K91" s="9">
        <f>INDEX( [0]!RQ_9, PM_Index )</f>
        <v>77.615000000000009</v>
      </c>
      <c r="L91" s="9">
        <f>INDEX( [0]!RQ_10, PM_Index )</f>
        <v>79.01666666666668</v>
      </c>
      <c r="M91" s="9">
        <f>INDEX( [0]!RQ_11, PM_Index )</f>
        <v>76.210000000000008</v>
      </c>
      <c r="N91" s="9">
        <f>INDEX( [0]!RQ_12, PM_Index )</f>
        <v>73.313333333333333</v>
      </c>
      <c r="R91">
        <f>MAX(Total_Monthly_Award_Fee)</f>
        <v>59.999999999999972</v>
      </c>
      <c r="S91" s="3" t="s">
        <v>6</v>
      </c>
      <c r="U91">
        <f>C6</f>
        <v>36</v>
      </c>
      <c r="V91">
        <f>IF($U$91&gt;MAX(Total_Monthly_Award_Fee),0,IF($U$91&lt;MIN(Total_Monthly_Award_Fee),1,1-PERCENTRANK(Total_Monthly_Award_Fee,$U$91)))</f>
        <v>1</v>
      </c>
      <c r="W91" t="s">
        <v>6</v>
      </c>
      <c r="X91"/>
      <c r="Y91">
        <f>C7</f>
        <v>41</v>
      </c>
      <c r="Z91">
        <f>IF($Y$91&gt;MAX(Total_Monthly_Award_Fee),0,IF($Y$91&lt;MIN(Total_Monthly_Award_Fee),1,1-PERCENTRANK(Total_Monthly_Award_Fee,$Y$91)))</f>
        <v>1</v>
      </c>
      <c r="AA91" t="s">
        <v>6</v>
      </c>
      <c r="AB91"/>
      <c r="AC91"/>
      <c r="AD91"/>
      <c r="AE91"/>
      <c r="AF91"/>
      <c r="AG91"/>
      <c r="AH91"/>
      <c r="AI91"/>
    </row>
    <row r="92" spans="2:38" ht="13.5" thickBot="1" x14ac:dyDescent="0.25">
      <c r="C92" s="4" t="s">
        <v>59</v>
      </c>
      <c r="D92" s="4" t="s">
        <v>60</v>
      </c>
      <c r="E92" s="4" t="s">
        <v>61</v>
      </c>
      <c r="F92" s="4" t="s">
        <v>62</v>
      </c>
      <c r="G92" s="4" t="s">
        <v>63</v>
      </c>
      <c r="H92" s="4" t="s">
        <v>64</v>
      </c>
      <c r="I92" s="4" t="s">
        <v>65</v>
      </c>
      <c r="J92" s="4" t="s">
        <v>66</v>
      </c>
      <c r="K92" s="4" t="s">
        <v>67</v>
      </c>
      <c r="L92" s="4" t="s">
        <v>68</v>
      </c>
      <c r="M92" s="4" t="s">
        <v>69</v>
      </c>
      <c r="N92" s="4" t="s">
        <v>70</v>
      </c>
      <c r="O92" s="4" t="s">
        <v>71</v>
      </c>
      <c r="R92">
        <f>MAX(Total_Quartery_Award_Fee)</f>
        <v>60</v>
      </c>
      <c r="S92" s="3" t="s">
        <v>7</v>
      </c>
      <c r="V92">
        <f>IF($U$91&gt;MAX(Total_Quartery_Award_Fee),0,IF($U$91&lt;MIN(Total_Quartery_Award_Fee),1,1-PERCENTRANK(Total_Quartery_Award_Fee,$U$91)))</f>
        <v>1</v>
      </c>
      <c r="W92" t="s">
        <v>7</v>
      </c>
      <c r="X92"/>
      <c r="Y92"/>
      <c r="Z92">
        <f>IF($Y$91&gt;MAX(Total_Quartery_Award_Fee),0,IF($Y$91&lt;MIN(Total_Quartery_Award_Fee),1,1-PERCENTRANK(Total_Quartery_Award_Fee,$Y$91)))</f>
        <v>1</v>
      </c>
      <c r="AA92" t="s">
        <v>7</v>
      </c>
      <c r="AB92"/>
      <c r="AC92"/>
      <c r="AD92"/>
      <c r="AE92"/>
      <c r="AF92"/>
      <c r="AG92"/>
      <c r="AH92"/>
      <c r="AI92"/>
    </row>
    <row r="93" spans="2:38" ht="13.5" thickBot="1" x14ac:dyDescent="0.25">
      <c r="B93" s="3" t="s">
        <v>13</v>
      </c>
      <c r="C93" s="8">
        <f t="shared" ref="C93:N93" si="3">IF(C91&gt;$C$5,$D$76,0)</f>
        <v>5</v>
      </c>
      <c r="D93" s="8">
        <f t="shared" si="3"/>
        <v>5</v>
      </c>
      <c r="E93" s="8">
        <f t="shared" si="3"/>
        <v>5</v>
      </c>
      <c r="F93" s="8">
        <f t="shared" si="3"/>
        <v>5</v>
      </c>
      <c r="G93" s="8">
        <f t="shared" si="3"/>
        <v>5</v>
      </c>
      <c r="H93" s="8">
        <f t="shared" si="3"/>
        <v>5</v>
      </c>
      <c r="I93" s="8">
        <f t="shared" si="3"/>
        <v>5</v>
      </c>
      <c r="J93" s="8">
        <f t="shared" si="3"/>
        <v>5</v>
      </c>
      <c r="K93" s="8">
        <f t="shared" si="3"/>
        <v>5</v>
      </c>
      <c r="L93" s="8">
        <f t="shared" si="3"/>
        <v>5</v>
      </c>
      <c r="M93" s="8">
        <f t="shared" si="3"/>
        <v>5</v>
      </c>
      <c r="N93" s="8">
        <f t="shared" si="3"/>
        <v>5</v>
      </c>
      <c r="O93" s="8">
        <f t="shared" ref="O93" si="4">SUM(C93:N93)</f>
        <v>60</v>
      </c>
      <c r="R93">
        <f>MAX(Total_Roling_Qtrly_Awrd_Fee)</f>
        <v>60</v>
      </c>
      <c r="S93" s="3" t="s">
        <v>159</v>
      </c>
      <c r="V93">
        <f>IF($U$91&gt;MAX(Total_Roling_Qtrly_Awrd_Fee),0,IF($U$91&lt;MIN(Total_Roling_Qtrly_Awrd_Fee),1,1-PERCENTRANK(Total_Roling_Qtrly_Awrd_Fee,$U$91)))</f>
        <v>1</v>
      </c>
      <c r="W93" t="s">
        <v>159</v>
      </c>
      <c r="X93"/>
      <c r="Y93"/>
      <c r="Z93">
        <f>IF($Y$91&gt;MAX(Total_Roling_Qtrly_Awrd_Fee),0,IF($Y$91&lt;MIN(Total_Roling_Qtrly_Awrd_Fee),1,1-PERCENTRANK(Total_Roling_Qtrly_Awrd_Fee,$Y$91)))</f>
        <v>1</v>
      </c>
      <c r="AA93" t="s">
        <v>159</v>
      </c>
      <c r="AB93"/>
      <c r="AC93"/>
      <c r="AD93"/>
      <c r="AE93"/>
      <c r="AF93"/>
      <c r="AG93"/>
      <c r="AH93"/>
      <c r="AI93"/>
    </row>
    <row r="94" spans="2:38" x14ac:dyDescent="0.2">
      <c r="C94" s="2"/>
      <c r="R94">
        <f>MAX(TYA_AF)</f>
        <v>60</v>
      </c>
      <c r="S94" s="3" t="s">
        <v>166</v>
      </c>
      <c r="V94">
        <f>IF($U$91&gt;MAX(TYA_AF),0,IF($U$91&lt;MIN(TYA_AF),1,1-PERCENTRANK(TYA_AF,$U$91)))</f>
        <v>1</v>
      </c>
      <c r="W94" t="s">
        <v>166</v>
      </c>
      <c r="X94"/>
      <c r="Y94"/>
      <c r="Z94">
        <f>IF($Y$91&gt;MAX(TYA_AF),0,IF($Y$91&lt;MIN(TYA_AF),1,1-PERCENTRANK(TYA_AF,$Y$91)))</f>
        <v>1</v>
      </c>
      <c r="AA94" t="s">
        <v>166</v>
      </c>
      <c r="AB94"/>
      <c r="AC94"/>
      <c r="AD94"/>
      <c r="AE94"/>
      <c r="AF94"/>
      <c r="AG94"/>
      <c r="AH94"/>
      <c r="AI94"/>
    </row>
    <row r="95" spans="2:38" x14ac:dyDescent="0.2"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2:38" ht="13.5" thickBot="1" x14ac:dyDescent="0.25">
      <c r="C96" s="3" t="s">
        <v>121</v>
      </c>
      <c r="D96" s="3" t="s">
        <v>122</v>
      </c>
      <c r="E96" s="3" t="s">
        <v>123</v>
      </c>
      <c r="F96" s="3" t="s">
        <v>124</v>
      </c>
      <c r="G96" s="3" t="s">
        <v>125</v>
      </c>
      <c r="H96" s="3" t="s">
        <v>126</v>
      </c>
      <c r="I96" s="3" t="s">
        <v>127</v>
      </c>
      <c r="J96" s="3" t="s">
        <v>128</v>
      </c>
      <c r="K96" s="3" t="s">
        <v>129</v>
      </c>
      <c r="L96" s="3" t="s">
        <v>130</v>
      </c>
      <c r="M96" s="3" t="s">
        <v>131</v>
      </c>
      <c r="N96" s="3" t="s">
        <v>132</v>
      </c>
      <c r="O96" s="3" t="s">
        <v>133</v>
      </c>
      <c r="P96" s="3" t="s">
        <v>134</v>
      </c>
      <c r="Q96" s="3" t="s">
        <v>135</v>
      </c>
      <c r="R96" s="3" t="s">
        <v>136</v>
      </c>
      <c r="S96" s="3" t="s">
        <v>137</v>
      </c>
      <c r="T96" s="3" t="s">
        <v>138</v>
      </c>
      <c r="U96" t="s">
        <v>139</v>
      </c>
      <c r="V96" t="s">
        <v>140</v>
      </c>
      <c r="W96" t="s">
        <v>141</v>
      </c>
      <c r="X96" t="s">
        <v>142</v>
      </c>
      <c r="Y96" t="s">
        <v>143</v>
      </c>
      <c r="Z96" t="s">
        <v>144</v>
      </c>
      <c r="AA96" t="s">
        <v>145</v>
      </c>
      <c r="AB96" t="s">
        <v>146</v>
      </c>
      <c r="AC96" t="s">
        <v>147</v>
      </c>
      <c r="AD96" t="s">
        <v>148</v>
      </c>
      <c r="AE96" t="s">
        <v>149</v>
      </c>
      <c r="AF96" t="s">
        <v>150</v>
      </c>
      <c r="AG96" t="s">
        <v>151</v>
      </c>
      <c r="AH96" t="s">
        <v>152</v>
      </c>
      <c r="AI96" t="s">
        <v>153</v>
      </c>
      <c r="AJ96" t="s">
        <v>154</v>
      </c>
      <c r="AK96" t="s">
        <v>155</v>
      </c>
      <c r="AL96" t="s">
        <v>156</v>
      </c>
    </row>
    <row r="97" spans="2:39" ht="13.5" thickBot="1" x14ac:dyDescent="0.25">
      <c r="B97" s="3" t="s">
        <v>12</v>
      </c>
      <c r="C97" s="9">
        <f>INDEX( [0]!M_1, PM_Index )</f>
        <v>75.97</v>
      </c>
      <c r="D97" s="9">
        <f>INDEX( [0]!M_2, PM_Index )</f>
        <v>77.72</v>
      </c>
      <c r="E97" s="9">
        <f>INDEX( [0]!M_3, PM_Index )</f>
        <v>78.34</v>
      </c>
      <c r="F97" s="9">
        <f>INDEX( [0]!M_4, PM_Index )</f>
        <v>78.16</v>
      </c>
      <c r="G97" s="9">
        <f>INDEX( [0]!M_5, PM_Index )</f>
        <v>81.86</v>
      </c>
      <c r="H97" s="9">
        <f>INDEX( [0]!M_6, PM_Index )</f>
        <v>81.55</v>
      </c>
      <c r="I97" s="9">
        <f>INDEX( [0]!M_7, PM_Index )</f>
        <v>80.98</v>
      </c>
      <c r="J97" s="9">
        <f>INDEX( [0]!M_8, PM_Index )</f>
        <v>77.739999999999995</v>
      </c>
      <c r="K97" s="9">
        <f>INDEX( [0]!M_9, PM_Index )</f>
        <v>78.239999999999995</v>
      </c>
      <c r="L97" s="9">
        <f>INDEX( [0]!M_10, PM_Index )</f>
        <v>82.09</v>
      </c>
      <c r="M97" s="9">
        <f>INDEX( [0]!M_11, PM_Index )</f>
        <v>78.44</v>
      </c>
      <c r="N97" s="9">
        <f>INDEX( [0]!M_12, PM_Index )</f>
        <v>73.3</v>
      </c>
      <c r="O97" s="9">
        <f>INDEX( [0]!M_13, PM_Index )</f>
        <v>75.22</v>
      </c>
      <c r="P97" s="9">
        <f>INDEX( [0]!M_14, PM_Index )</f>
        <v>81.22</v>
      </c>
      <c r="Q97" s="9">
        <f>INDEX( [0]!M_15, PM_Index )</f>
        <v>77.77</v>
      </c>
      <c r="R97" s="9">
        <f>INDEX( [0]!M_16, PM_Index )</f>
        <v>84.11</v>
      </c>
      <c r="S97" s="9">
        <f>INDEX( [0]!M_17, PM_Index )</f>
        <v>81.63</v>
      </c>
      <c r="T97" s="9">
        <f>INDEX( [0]!M_18, PM_Index )</f>
        <v>80.819999999999993</v>
      </c>
      <c r="U97">
        <f>INDEX( [0]!M_19, PM_Index )</f>
        <v>78.75</v>
      </c>
      <c r="V97">
        <f>INDEX( [0]!M_20, PM_Index )</f>
        <v>68.489999999999995</v>
      </c>
      <c r="W97">
        <f>INDEX( [0]!M_21, PM_Index )</f>
        <v>75.959999999999994</v>
      </c>
      <c r="X97">
        <f>INDEX( [0]!M_22, PM_Index )</f>
        <v>75.23</v>
      </c>
      <c r="Y97">
        <f>INDEX( [0]!M_23, PM_Index )</f>
        <v>75.900000000000006</v>
      </c>
      <c r="Z97">
        <f>INDEX( [0]!M_24, PM_Index )</f>
        <v>77.36</v>
      </c>
      <c r="AA97">
        <f>INDEX( [0]!M_25, PM_Index )</f>
        <v>78.8</v>
      </c>
      <c r="AB97">
        <f>INDEX( [0]!M_26, PM_Index )</f>
        <v>78.73</v>
      </c>
      <c r="AC97">
        <f>INDEX( [0]!M_27, PM_Index )</f>
        <v>79.67</v>
      </c>
      <c r="AD97">
        <f>INDEX( [0]!M_28, PM_Index )</f>
        <v>78.56</v>
      </c>
      <c r="AE97">
        <f>INDEX( [0]!M_29, PM_Index )</f>
        <v>79.23</v>
      </c>
      <c r="AF97">
        <f>INDEX( [0]!M_30, PM_Index )</f>
        <v>79.11</v>
      </c>
      <c r="AG97">
        <f>INDEX( [0]!M_31, PM_Index )</f>
        <v>75.38</v>
      </c>
      <c r="AH97">
        <f>INDEX( [0]!M_32, PM_Index )</f>
        <v>74.75</v>
      </c>
      <c r="AI97">
        <f>INDEX( [0]!M_33, PM_Index )</f>
        <v>70.23</v>
      </c>
      <c r="AJ97">
        <f>INDEX( [0]!M_34, PM_Index )</f>
        <v>71.98</v>
      </c>
      <c r="AK97">
        <f>INDEX( [0]!M_35, PM_Index )</f>
        <v>73.209999999999994</v>
      </c>
      <c r="AL97">
        <f>INDEX( [0]!M_36, PM_Index )</f>
        <v>74.33</v>
      </c>
    </row>
    <row r="98" spans="2:39" ht="13.5" thickBot="1" x14ac:dyDescent="0.25">
      <c r="C98" s="3" t="s">
        <v>84</v>
      </c>
      <c r="D98" s="3" t="s">
        <v>85</v>
      </c>
      <c r="E98" s="3" t="s">
        <v>86</v>
      </c>
      <c r="F98" s="3" t="s">
        <v>87</v>
      </c>
      <c r="G98" s="3" t="s">
        <v>88</v>
      </c>
      <c r="H98" s="3" t="s">
        <v>89</v>
      </c>
      <c r="I98" s="3" t="s">
        <v>90</v>
      </c>
      <c r="J98" s="3" t="s">
        <v>91</v>
      </c>
      <c r="K98" s="3" t="s">
        <v>92</v>
      </c>
      <c r="L98" s="3" t="s">
        <v>93</v>
      </c>
      <c r="M98" s="3" t="s">
        <v>94</v>
      </c>
      <c r="N98" s="3" t="s">
        <v>95</v>
      </c>
      <c r="O98" s="3" t="s">
        <v>96</v>
      </c>
      <c r="P98" s="3" t="s">
        <v>97</v>
      </c>
      <c r="Q98" s="3" t="s">
        <v>98</v>
      </c>
      <c r="R98" s="3" t="s">
        <v>99</v>
      </c>
      <c r="S98" s="3" t="s">
        <v>100</v>
      </c>
      <c r="T98" s="3" t="s">
        <v>101</v>
      </c>
      <c r="U98" t="s">
        <v>102</v>
      </c>
      <c r="V98" t="s">
        <v>103</v>
      </c>
      <c r="W98" t="s">
        <v>104</v>
      </c>
      <c r="X98" t="s">
        <v>105</v>
      </c>
      <c r="Y98" t="s">
        <v>106</v>
      </c>
      <c r="Z98" t="s">
        <v>107</v>
      </c>
      <c r="AA98" t="s">
        <v>108</v>
      </c>
      <c r="AB98" t="s">
        <v>109</v>
      </c>
      <c r="AC98" t="s">
        <v>110</v>
      </c>
      <c r="AD98" t="s">
        <v>111</v>
      </c>
      <c r="AE98" t="s">
        <v>112</v>
      </c>
      <c r="AF98" t="s">
        <v>113</v>
      </c>
      <c r="AG98" t="s">
        <v>114</v>
      </c>
      <c r="AH98" t="s">
        <v>115</v>
      </c>
      <c r="AI98" t="s">
        <v>116</v>
      </c>
      <c r="AJ98" t="s">
        <v>117</v>
      </c>
      <c r="AK98" t="s">
        <v>118</v>
      </c>
      <c r="AL98" t="s">
        <v>119</v>
      </c>
      <c r="AM98" t="s">
        <v>120</v>
      </c>
    </row>
    <row r="99" spans="2:39" ht="13.5" thickBot="1" x14ac:dyDescent="0.25">
      <c r="B99" s="3" t="s">
        <v>13</v>
      </c>
      <c r="C99" s="8">
        <f t="shared" ref="C99:AL99" si="5">IF(C97&gt;$C$5,$D$77,0)</f>
        <v>1.6666666666666667</v>
      </c>
      <c r="D99" s="8">
        <f t="shared" si="5"/>
        <v>1.6666666666666667</v>
      </c>
      <c r="E99" s="8">
        <f t="shared" si="5"/>
        <v>1.6666666666666667</v>
      </c>
      <c r="F99" s="8">
        <f t="shared" si="5"/>
        <v>1.6666666666666667</v>
      </c>
      <c r="G99" s="8">
        <f t="shared" si="5"/>
        <v>1.6666666666666667</v>
      </c>
      <c r="H99" s="8">
        <f t="shared" si="5"/>
        <v>1.6666666666666667</v>
      </c>
      <c r="I99" s="8">
        <f t="shared" si="5"/>
        <v>1.6666666666666667</v>
      </c>
      <c r="J99" s="8">
        <f t="shared" si="5"/>
        <v>1.6666666666666667</v>
      </c>
      <c r="K99" s="8">
        <f t="shared" si="5"/>
        <v>1.6666666666666667</v>
      </c>
      <c r="L99" s="8">
        <f t="shared" si="5"/>
        <v>1.6666666666666667</v>
      </c>
      <c r="M99" s="8">
        <f t="shared" si="5"/>
        <v>1.6666666666666667</v>
      </c>
      <c r="N99" s="8">
        <f t="shared" si="5"/>
        <v>1.6666666666666667</v>
      </c>
      <c r="O99" s="8">
        <f t="shared" si="5"/>
        <v>1.6666666666666667</v>
      </c>
      <c r="P99" s="8">
        <f t="shared" si="5"/>
        <v>1.6666666666666667</v>
      </c>
      <c r="Q99" s="8">
        <f t="shared" si="5"/>
        <v>1.6666666666666667</v>
      </c>
      <c r="R99" s="8">
        <f t="shared" si="5"/>
        <v>1.6666666666666667</v>
      </c>
      <c r="S99" s="8">
        <f t="shared" si="5"/>
        <v>1.6666666666666667</v>
      </c>
      <c r="T99" s="8">
        <f t="shared" si="5"/>
        <v>1.6666666666666667</v>
      </c>
      <c r="U99">
        <f t="shared" si="5"/>
        <v>1.6666666666666667</v>
      </c>
      <c r="V99">
        <f t="shared" si="5"/>
        <v>0</v>
      </c>
      <c r="W99">
        <f t="shared" si="5"/>
        <v>1.6666666666666667</v>
      </c>
      <c r="X99">
        <f t="shared" si="5"/>
        <v>1.6666666666666667</v>
      </c>
      <c r="Y99">
        <f t="shared" si="5"/>
        <v>1.6666666666666667</v>
      </c>
      <c r="Z99">
        <f t="shared" si="5"/>
        <v>1.6666666666666667</v>
      </c>
      <c r="AA99">
        <f t="shared" si="5"/>
        <v>1.6666666666666667</v>
      </c>
      <c r="AB99">
        <f t="shared" si="5"/>
        <v>1.6666666666666667</v>
      </c>
      <c r="AC99">
        <f t="shared" si="5"/>
        <v>1.6666666666666667</v>
      </c>
      <c r="AD99">
        <f t="shared" si="5"/>
        <v>1.6666666666666667</v>
      </c>
      <c r="AE99">
        <f t="shared" si="5"/>
        <v>1.6666666666666667</v>
      </c>
      <c r="AF99">
        <f t="shared" si="5"/>
        <v>1.6666666666666667</v>
      </c>
      <c r="AG99">
        <f t="shared" si="5"/>
        <v>1.6666666666666667</v>
      </c>
      <c r="AH99">
        <f t="shared" si="5"/>
        <v>1.6666666666666667</v>
      </c>
      <c r="AI99">
        <f t="shared" si="5"/>
        <v>0</v>
      </c>
      <c r="AJ99">
        <f t="shared" si="5"/>
        <v>0</v>
      </c>
      <c r="AK99">
        <f t="shared" si="5"/>
        <v>1.6666666666666667</v>
      </c>
      <c r="AL99">
        <f t="shared" si="5"/>
        <v>1.6666666666666667</v>
      </c>
      <c r="AM99">
        <f>SUM(C99:AL99)</f>
        <v>54.999999999999979</v>
      </c>
    </row>
    <row r="100" spans="2:39" x14ac:dyDescent="0.2"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2:39" x14ac:dyDescent="0.2"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2:39" ht="13.5" thickBot="1" x14ac:dyDescent="0.25">
      <c r="C102" s="3" t="s">
        <v>169</v>
      </c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2:39" ht="13.5" thickBot="1" x14ac:dyDescent="0.25">
      <c r="B103" s="3" t="s">
        <v>12</v>
      </c>
      <c r="C103" s="9">
        <f>INDEX( [0]!Three_Year_Average, PM_Index )</f>
        <v>77.523055555555572</v>
      </c>
      <c r="R103" s="3" t="s">
        <v>176</v>
      </c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2:39" ht="13.5" thickBot="1" x14ac:dyDescent="0.25">
      <c r="C104" s="3" t="s">
        <v>168</v>
      </c>
      <c r="S104" s="3" t="s">
        <v>6</v>
      </c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2:39" ht="13.5" thickBot="1" x14ac:dyDescent="0.25">
      <c r="B105" s="3" t="s">
        <v>13</v>
      </c>
      <c r="C105" s="8">
        <f>IF(C103&gt;$C$5,$C$4,0)</f>
        <v>60</v>
      </c>
      <c r="R105">
        <f>INDEX(Total_Quartery_Award_Fee,$Q$81)</f>
        <v>60</v>
      </c>
      <c r="S105" s="3" t="s">
        <v>7</v>
      </c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2:39" x14ac:dyDescent="0.2">
      <c r="R106">
        <f>INDEX(Total_Roling_Qtrly_Awrd_Fee,$Q$81)</f>
        <v>60</v>
      </c>
      <c r="S106" s="3" t="s">
        <v>159</v>
      </c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2:39" x14ac:dyDescent="0.2">
      <c r="R107">
        <f>INDEX(Three_Year_Average,$Q$81)</f>
        <v>77.523055555555572</v>
      </c>
      <c r="S107" s="3" t="s">
        <v>166</v>
      </c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2:39" x14ac:dyDescent="0.2">
      <c r="R108" s="3" t="s">
        <v>160</v>
      </c>
      <c r="V108" t="s">
        <v>162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2:39" x14ac:dyDescent="0.2">
      <c r="R109">
        <f>AVERAGE(Total_Monthly_Award_Fee)</f>
        <v>55.399999999999984</v>
      </c>
      <c r="S109" s="3" t="s">
        <v>6</v>
      </c>
      <c r="V109">
        <f>MIN(Total_Monthly_Award_Fee)</f>
        <v>46.666666666666657</v>
      </c>
      <c r="W109" t="s">
        <v>6</v>
      </c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2:39" x14ac:dyDescent="0.2">
      <c r="R110" s="2">
        <f>AVERAGE(Total_Quartery_Award_Fee)</f>
        <v>58.25</v>
      </c>
      <c r="S110" s="3" t="s">
        <v>7</v>
      </c>
      <c r="V110">
        <f>MIN(Total_Quartery_Award_Fee)</f>
        <v>50</v>
      </c>
      <c r="W110" t="s">
        <v>7</v>
      </c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2:39" x14ac:dyDescent="0.2">
      <c r="R111">
        <f>AVERAGE(Total_Roling_Qtrly_Awrd_Fee)</f>
        <v>59.3</v>
      </c>
      <c r="S111" s="3" t="s">
        <v>159</v>
      </c>
      <c r="V111">
        <f>MIN(Total_Roling_Qtrly_Awrd_Fee)</f>
        <v>50</v>
      </c>
      <c r="W111" t="s">
        <v>159</v>
      </c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2:39" x14ac:dyDescent="0.2">
      <c r="R112">
        <f>AVERAGE(TYA_AF)</f>
        <v>60</v>
      </c>
      <c r="S112" s="3" t="s">
        <v>166</v>
      </c>
      <c r="V112">
        <f>MIN(TYA_AF)</f>
        <v>60</v>
      </c>
      <c r="W112" t="s">
        <v>166</v>
      </c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6:35" x14ac:dyDescent="0.2">
      <c r="R113" s="3" t="s">
        <v>161</v>
      </c>
      <c r="V113" t="s">
        <v>163</v>
      </c>
      <c r="W113"/>
      <c r="X113"/>
      <c r="Y113"/>
      <c r="Z113" t="s">
        <v>171</v>
      </c>
      <c r="AA113"/>
      <c r="AB113"/>
      <c r="AC113"/>
      <c r="AD113"/>
      <c r="AE113"/>
      <c r="AF113"/>
      <c r="AG113"/>
      <c r="AH113"/>
      <c r="AI113"/>
    </row>
    <row r="114" spans="16:35" x14ac:dyDescent="0.2">
      <c r="R114">
        <f>MAX(Total_Monthly_Award_Fee)</f>
        <v>59.999999999999972</v>
      </c>
      <c r="S114" s="3" t="s">
        <v>6</v>
      </c>
      <c r="U114">
        <f>C29</f>
        <v>0</v>
      </c>
      <c r="V114">
        <f>IF($U$91&gt;MAX(Total_Monthly_Award_Fee),0,IF($U$91&lt;MIN(Total_Monthly_Award_Fee),1,1-PERCENTRANK(Total_Monthly_Award_Fee,$U$91)))</f>
        <v>1</v>
      </c>
      <c r="W114" t="s">
        <v>6</v>
      </c>
      <c r="X114"/>
      <c r="Y114">
        <f>C30</f>
        <v>0</v>
      </c>
      <c r="Z114">
        <f>IF($Y$91&gt;MAX(Total_Monthly_Award_Fee),0,IF($Y$91&lt;MIN(Total_Monthly_Award_Fee),1,1-PERCENTRANK(Total_Monthly_Award_Fee,$Y$91)))</f>
        <v>1</v>
      </c>
      <c r="AA114" t="s">
        <v>6</v>
      </c>
      <c r="AB114"/>
      <c r="AC114"/>
      <c r="AD114"/>
      <c r="AE114"/>
      <c r="AF114"/>
      <c r="AG114"/>
      <c r="AH114"/>
      <c r="AI114"/>
    </row>
    <row r="115" spans="16:35" x14ac:dyDescent="0.2">
      <c r="R115">
        <f>MAX(Total_Quartery_Award_Fee)</f>
        <v>60</v>
      </c>
      <c r="S115" s="3" t="s">
        <v>7</v>
      </c>
      <c r="V115">
        <f>IF($U$91&gt;MAX(Total_Quartery_Award_Fee),0,IF($U$91&lt;MIN(Total_Quartery_Award_Fee),1,1-PERCENTRANK(Total_Quartery_Award_Fee,$U$91)))</f>
        <v>1</v>
      </c>
      <c r="W115" t="s">
        <v>7</v>
      </c>
      <c r="X115"/>
      <c r="Y115"/>
      <c r="Z115">
        <f>IF($Y$91&gt;MAX(Total_Quartery_Award_Fee),0,IF($Y$91&lt;MIN(Total_Quartery_Award_Fee),1,1-PERCENTRANK(Total_Quartery_Award_Fee,$Y$91)))</f>
        <v>1</v>
      </c>
      <c r="AA115" t="s">
        <v>7</v>
      </c>
      <c r="AB115"/>
      <c r="AC115"/>
      <c r="AD115"/>
      <c r="AE115"/>
      <c r="AF115"/>
      <c r="AG115"/>
      <c r="AH115"/>
      <c r="AI115"/>
    </row>
    <row r="116" spans="16:35" x14ac:dyDescent="0.2">
      <c r="R116">
        <f>MAX(Total_Roling_Qtrly_Awrd_Fee)</f>
        <v>60</v>
      </c>
      <c r="S116" s="3" t="s">
        <v>159</v>
      </c>
      <c r="V116">
        <f>IF($U$91&gt;MAX(Total_Roling_Qtrly_Awrd_Fee),0,IF($U$91&lt;MIN(Total_Roling_Qtrly_Awrd_Fee),1,1-PERCENTRANK(Total_Roling_Qtrly_Awrd_Fee,$U$91)))</f>
        <v>1</v>
      </c>
      <c r="W116" t="s">
        <v>159</v>
      </c>
      <c r="X116"/>
      <c r="Y116"/>
      <c r="Z116">
        <f>IF($Y$91&gt;MAX(Total_Roling_Qtrly_Awrd_Fee),0,IF($Y$91&lt;MIN(Total_Roling_Qtrly_Awrd_Fee),1,1-PERCENTRANK(Total_Roling_Qtrly_Awrd_Fee,$Y$91)))</f>
        <v>1</v>
      </c>
      <c r="AA116" t="s">
        <v>159</v>
      </c>
      <c r="AB116"/>
      <c r="AC116"/>
      <c r="AD116"/>
      <c r="AE116"/>
      <c r="AF116"/>
      <c r="AG116"/>
      <c r="AH116"/>
      <c r="AI116"/>
    </row>
    <row r="117" spans="16:35" x14ac:dyDescent="0.2">
      <c r="R117">
        <f>MAX(TYA_AF)</f>
        <v>60</v>
      </c>
      <c r="S117" s="3" t="s">
        <v>166</v>
      </c>
      <c r="V117">
        <f>IF($U$91&gt;MAX(TYA_AF),0,IF($U$91&lt;MIN(TYA_AF),1,1-PERCENTRANK(TYA_AF,$U$91)))</f>
        <v>1</v>
      </c>
      <c r="W117" t="s">
        <v>166</v>
      </c>
      <c r="X117"/>
      <c r="Y117"/>
      <c r="Z117">
        <f>IF($Y$91&gt;MAX(TYA_AF),0,IF($Y$91&lt;MIN(TYA_AF),1,1-PERCENTRANK(TYA_AF,$Y$91)))</f>
        <v>1</v>
      </c>
      <c r="AA117" t="s">
        <v>166</v>
      </c>
      <c r="AB117"/>
      <c r="AC117"/>
      <c r="AD117"/>
      <c r="AE117"/>
      <c r="AF117"/>
      <c r="AG117"/>
      <c r="AH117"/>
      <c r="AI117"/>
    </row>
    <row r="118" spans="16:35" x14ac:dyDescent="0.2"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6:35" x14ac:dyDescent="0.2"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6:35" x14ac:dyDescent="0.2"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6:35" x14ac:dyDescent="0.2">
      <c r="P121" t="str">
        <f>IF(Q121&lt;101,101-Q121,"Average")</f>
        <v>Average</v>
      </c>
      <c r="Q121">
        <v>101</v>
      </c>
      <c r="R121">
        <f>INDEX(Monthly_Max,$Q$121)</f>
        <v>77.845100000000016</v>
      </c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6:35" x14ac:dyDescent="0.2">
      <c r="Q122" s="3" t="s">
        <v>6</v>
      </c>
      <c r="R122">
        <f>INDEX(Monthly_Min,$Q$121)</f>
        <v>76.179500000000004</v>
      </c>
      <c r="S122">
        <f>R121-R122</f>
        <v>1.665600000000012</v>
      </c>
      <c r="T122">
        <f>$C$5</f>
        <v>72.099999999999994</v>
      </c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6:35" x14ac:dyDescent="0.2">
      <c r="R123">
        <f>INDEX(Qtrly_Max,$Q$121)</f>
        <v>77.524000000000001</v>
      </c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6:35" x14ac:dyDescent="0.2">
      <c r="Q124" s="3" t="s">
        <v>7</v>
      </c>
      <c r="R124">
        <f>INDEX(Qtrly_Min,$Q$121)</f>
        <v>76.603133333333375</v>
      </c>
      <c r="S124">
        <f>R123-R124</f>
        <v>0.92086666666662609</v>
      </c>
      <c r="T124">
        <f>$C$5</f>
        <v>72.099999999999994</v>
      </c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6:35" x14ac:dyDescent="0.2">
      <c r="R125">
        <f>INDEX(Rqtrly_Max,$Q$121)</f>
        <v>77.327649999999991</v>
      </c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6:35" x14ac:dyDescent="0.2">
      <c r="Q126" s="3" t="s">
        <v>159</v>
      </c>
      <c r="R126">
        <f>INDEX(Rqtrly_Min,$Q$121)</f>
        <v>76.768433333333334</v>
      </c>
      <c r="S126">
        <f>R125-R126</f>
        <v>0.55921666666665715</v>
      </c>
      <c r="T126">
        <f>$C$5</f>
        <v>72.099999999999994</v>
      </c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6:35" x14ac:dyDescent="0.2">
      <c r="R127">
        <f>INDEX(TY_Max,$Q$121)</f>
        <v>78.953611111111115</v>
      </c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6:35" x14ac:dyDescent="0.2">
      <c r="Q128" s="3" t="s">
        <v>166</v>
      </c>
      <c r="R128">
        <f>INDEX(TY_Min,$Q$121)</f>
        <v>75.006388888888893</v>
      </c>
      <c r="S128">
        <f>R127-R128</f>
        <v>3.9472222222222229</v>
      </c>
      <c r="T128">
        <f>$C$5</f>
        <v>72.099999999999994</v>
      </c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22:35" x14ac:dyDescent="0.2"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22:35" x14ac:dyDescent="0.2"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22:35" x14ac:dyDescent="0.2"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22:35" x14ac:dyDescent="0.2"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22:35" x14ac:dyDescent="0.2"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22:35" x14ac:dyDescent="0.2"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22:35" x14ac:dyDescent="0.2"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22:35" x14ac:dyDescent="0.2"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22:35" x14ac:dyDescent="0.2"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22:35" x14ac:dyDescent="0.2"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22:35" x14ac:dyDescent="0.2"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22:35" x14ac:dyDescent="0.2"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22:35" x14ac:dyDescent="0.2"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22:35" x14ac:dyDescent="0.2"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22:35" x14ac:dyDescent="0.2"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22:35" x14ac:dyDescent="0.2"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22:35" x14ac:dyDescent="0.2"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22:35" x14ac:dyDescent="0.2"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22:35" x14ac:dyDescent="0.2"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22:35" x14ac:dyDescent="0.2"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22:35" x14ac:dyDescent="0.2"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22:35" x14ac:dyDescent="0.2"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22:35" x14ac:dyDescent="0.2"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22:35" x14ac:dyDescent="0.2"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22:35" x14ac:dyDescent="0.2"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22:35" x14ac:dyDescent="0.2"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22:35" x14ac:dyDescent="0.2"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22:35" x14ac:dyDescent="0.2"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22:35" x14ac:dyDescent="0.2"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22:35" x14ac:dyDescent="0.2"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22:35" x14ac:dyDescent="0.2"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22:35" x14ac:dyDescent="0.2"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22:35" x14ac:dyDescent="0.2"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22:35" x14ac:dyDescent="0.2"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22:35" x14ac:dyDescent="0.2"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22:35" x14ac:dyDescent="0.2"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22:35" x14ac:dyDescent="0.2"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22:35" x14ac:dyDescent="0.2"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22:35" x14ac:dyDescent="0.2"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22:35" x14ac:dyDescent="0.2"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22:35" x14ac:dyDescent="0.2"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22:35" x14ac:dyDescent="0.2"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22:35" x14ac:dyDescent="0.2"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22:35" x14ac:dyDescent="0.2"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22:35" x14ac:dyDescent="0.2"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22:35" x14ac:dyDescent="0.2"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22:35" x14ac:dyDescent="0.2"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22:35" x14ac:dyDescent="0.2"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22:35" x14ac:dyDescent="0.2"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22:35" x14ac:dyDescent="0.2"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22:35" x14ac:dyDescent="0.2"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22:35" x14ac:dyDescent="0.2"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22:35" x14ac:dyDescent="0.2"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22:35" x14ac:dyDescent="0.2"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22:35" x14ac:dyDescent="0.2"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22:35" x14ac:dyDescent="0.2"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22:35" x14ac:dyDescent="0.2"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22:35" x14ac:dyDescent="0.2"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22:35" x14ac:dyDescent="0.2"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22:35" x14ac:dyDescent="0.2"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22:35" x14ac:dyDescent="0.2"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22:35" x14ac:dyDescent="0.2"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22:35" x14ac:dyDescent="0.2"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22:35" x14ac:dyDescent="0.2"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22:35" x14ac:dyDescent="0.2"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22:35" x14ac:dyDescent="0.2"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22:35" x14ac:dyDescent="0.2"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22:35" x14ac:dyDescent="0.2"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22:35" x14ac:dyDescent="0.2"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22:35" x14ac:dyDescent="0.2"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22:35" x14ac:dyDescent="0.2"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22:35" x14ac:dyDescent="0.2"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22:35" x14ac:dyDescent="0.2"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22:35" x14ac:dyDescent="0.2"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22:35" x14ac:dyDescent="0.2"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22:35" x14ac:dyDescent="0.2"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22:35" x14ac:dyDescent="0.2"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22:35" x14ac:dyDescent="0.2"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22:35" x14ac:dyDescent="0.2"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22:35" x14ac:dyDescent="0.2"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22:35" x14ac:dyDescent="0.2"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22:35" x14ac:dyDescent="0.2"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22:35" x14ac:dyDescent="0.2"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22:35" x14ac:dyDescent="0.2"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22:35" x14ac:dyDescent="0.2"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22:35" x14ac:dyDescent="0.2"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22:35" x14ac:dyDescent="0.2"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22:35" x14ac:dyDescent="0.2"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22:35" x14ac:dyDescent="0.2"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22:35" x14ac:dyDescent="0.2"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22:35" x14ac:dyDescent="0.2"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22:35" x14ac:dyDescent="0.2"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22:35" x14ac:dyDescent="0.2"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22:35" x14ac:dyDescent="0.2"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22:35" x14ac:dyDescent="0.2"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22:35" x14ac:dyDescent="0.2"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22:35" x14ac:dyDescent="0.2"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22:35" x14ac:dyDescent="0.2"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22:35" x14ac:dyDescent="0.2"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22:35" x14ac:dyDescent="0.2"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22:35" x14ac:dyDescent="0.2"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22:35" x14ac:dyDescent="0.2"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22:35" x14ac:dyDescent="0.2"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22:35" x14ac:dyDescent="0.2"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22:35" x14ac:dyDescent="0.2"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22:35" x14ac:dyDescent="0.2"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22:35" x14ac:dyDescent="0.2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22:35" x14ac:dyDescent="0.2"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22:35" x14ac:dyDescent="0.2"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22:35" x14ac:dyDescent="0.2"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22:35" x14ac:dyDescent="0.2"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22:35" x14ac:dyDescent="0.2"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22:35" x14ac:dyDescent="0.2"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22:35" x14ac:dyDescent="0.2"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22:35" x14ac:dyDescent="0.2"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22:35" x14ac:dyDescent="0.2"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22:35" x14ac:dyDescent="0.2"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22:35" x14ac:dyDescent="0.2"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22:35" x14ac:dyDescent="0.2"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22:35" x14ac:dyDescent="0.2"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22:35" x14ac:dyDescent="0.2"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22:35" x14ac:dyDescent="0.2"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22:35" x14ac:dyDescent="0.2"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22:35" x14ac:dyDescent="0.2"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22:35" x14ac:dyDescent="0.2"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22:35" x14ac:dyDescent="0.2"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22:35" x14ac:dyDescent="0.2"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22:35" x14ac:dyDescent="0.2"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22:35" x14ac:dyDescent="0.2"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22:35" x14ac:dyDescent="0.2"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22:35" x14ac:dyDescent="0.2"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22:35" x14ac:dyDescent="0.2"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22:35" x14ac:dyDescent="0.2"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22:35" x14ac:dyDescent="0.2"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22:35" x14ac:dyDescent="0.2"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22:35" x14ac:dyDescent="0.2"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22:35" x14ac:dyDescent="0.2"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22:35" x14ac:dyDescent="0.2"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22:35" x14ac:dyDescent="0.2"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22:35" x14ac:dyDescent="0.2"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22:35" x14ac:dyDescent="0.2"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22:35" x14ac:dyDescent="0.2"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22:35" x14ac:dyDescent="0.2"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22:35" x14ac:dyDescent="0.2"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22:35" x14ac:dyDescent="0.2"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22:35" x14ac:dyDescent="0.2"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22:35" x14ac:dyDescent="0.2"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22:35" x14ac:dyDescent="0.2"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22:35" x14ac:dyDescent="0.2"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22:35" x14ac:dyDescent="0.2"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22:35" x14ac:dyDescent="0.2"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22:35" x14ac:dyDescent="0.2"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22:35" x14ac:dyDescent="0.2"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22:35" x14ac:dyDescent="0.2"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22:35" x14ac:dyDescent="0.2"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22:35" x14ac:dyDescent="0.2"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22:35" x14ac:dyDescent="0.2"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22:35" x14ac:dyDescent="0.2"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22:35" x14ac:dyDescent="0.2"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22:35" x14ac:dyDescent="0.2"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22:35" x14ac:dyDescent="0.2"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22:35" x14ac:dyDescent="0.2"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22:35" x14ac:dyDescent="0.2"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22:35" x14ac:dyDescent="0.2"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22:35" x14ac:dyDescent="0.2"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22:35" x14ac:dyDescent="0.2"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22:35" x14ac:dyDescent="0.2"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22:35" x14ac:dyDescent="0.2"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22:35" x14ac:dyDescent="0.2"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22:35" x14ac:dyDescent="0.2"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22:35" x14ac:dyDescent="0.2"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22:35" x14ac:dyDescent="0.2"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22:35" x14ac:dyDescent="0.2"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22:35" x14ac:dyDescent="0.2"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22:35" x14ac:dyDescent="0.2"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22:35" x14ac:dyDescent="0.2"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22:35" x14ac:dyDescent="0.2"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22:35" x14ac:dyDescent="0.2"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22:35" x14ac:dyDescent="0.2"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22:35" x14ac:dyDescent="0.2"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22:35" x14ac:dyDescent="0.2"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22:35" x14ac:dyDescent="0.2"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22:35" x14ac:dyDescent="0.2"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22:35" x14ac:dyDescent="0.2"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22:35" x14ac:dyDescent="0.2"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22:35" x14ac:dyDescent="0.2"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22:35" x14ac:dyDescent="0.2"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22:35" x14ac:dyDescent="0.2"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22:35" x14ac:dyDescent="0.2"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22:35" x14ac:dyDescent="0.2"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22:35" x14ac:dyDescent="0.2"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22:35" x14ac:dyDescent="0.2"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22:35" x14ac:dyDescent="0.2"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22:35" x14ac:dyDescent="0.2"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22:35" x14ac:dyDescent="0.2"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22:35" x14ac:dyDescent="0.2"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22:35" x14ac:dyDescent="0.2"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22:35" x14ac:dyDescent="0.2"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22:35" x14ac:dyDescent="0.2"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22:35" x14ac:dyDescent="0.2"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22:35" x14ac:dyDescent="0.2"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22:35" x14ac:dyDescent="0.2"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22:35" x14ac:dyDescent="0.2"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22:35" x14ac:dyDescent="0.2"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22:35" x14ac:dyDescent="0.2"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22:35" x14ac:dyDescent="0.2"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22:35" x14ac:dyDescent="0.2"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22:35" x14ac:dyDescent="0.2"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22:35" x14ac:dyDescent="0.2"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22:35" x14ac:dyDescent="0.2"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22:35" x14ac:dyDescent="0.2"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22:35" x14ac:dyDescent="0.2"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22:35" x14ac:dyDescent="0.2"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22:35" x14ac:dyDescent="0.2"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22:35" x14ac:dyDescent="0.2"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22:35" x14ac:dyDescent="0.2"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22:35" x14ac:dyDescent="0.2"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22:35" x14ac:dyDescent="0.2"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22:35" x14ac:dyDescent="0.2"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22:35" x14ac:dyDescent="0.2"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22:35" x14ac:dyDescent="0.2"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22:35" x14ac:dyDescent="0.2"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22:35" x14ac:dyDescent="0.2"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22:35" x14ac:dyDescent="0.2"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22:35" x14ac:dyDescent="0.2"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22:35" x14ac:dyDescent="0.2"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22:35" x14ac:dyDescent="0.2"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22:35" x14ac:dyDescent="0.2"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22:35" x14ac:dyDescent="0.2"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22:35" x14ac:dyDescent="0.2"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22:35" x14ac:dyDescent="0.2"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22:35" x14ac:dyDescent="0.2"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22:35" x14ac:dyDescent="0.2"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22:35" x14ac:dyDescent="0.2"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22:35" x14ac:dyDescent="0.2"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22:35" x14ac:dyDescent="0.2"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22:35" x14ac:dyDescent="0.2"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22:35" x14ac:dyDescent="0.2"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22:35" x14ac:dyDescent="0.2"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22:35" x14ac:dyDescent="0.2"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22:35" x14ac:dyDescent="0.2"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22:35" x14ac:dyDescent="0.2"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22:35" x14ac:dyDescent="0.2"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22:35" x14ac:dyDescent="0.2"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22:35" x14ac:dyDescent="0.2"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22:35" x14ac:dyDescent="0.2"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22:35" x14ac:dyDescent="0.2"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22:35" x14ac:dyDescent="0.2"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22:35" x14ac:dyDescent="0.2"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22:35" x14ac:dyDescent="0.2"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22:35" x14ac:dyDescent="0.2"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22:35" x14ac:dyDescent="0.2"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22:35" x14ac:dyDescent="0.2"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22:35" x14ac:dyDescent="0.2"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22:35" x14ac:dyDescent="0.2"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22:35" x14ac:dyDescent="0.2"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22:35" x14ac:dyDescent="0.2"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22:35" x14ac:dyDescent="0.2"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22:35" x14ac:dyDescent="0.2"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22:35" x14ac:dyDescent="0.2"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22:35" x14ac:dyDescent="0.2"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22:35" x14ac:dyDescent="0.2"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22:35" x14ac:dyDescent="0.2"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22:35" x14ac:dyDescent="0.2"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22:35" x14ac:dyDescent="0.2"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22:35" x14ac:dyDescent="0.2"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22:35" x14ac:dyDescent="0.2"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22:35" x14ac:dyDescent="0.2"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22:35" x14ac:dyDescent="0.2"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22:35" x14ac:dyDescent="0.2"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22:35" x14ac:dyDescent="0.2"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22:35" x14ac:dyDescent="0.2"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22:35" x14ac:dyDescent="0.2"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22:35" x14ac:dyDescent="0.2"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22:35" x14ac:dyDescent="0.2"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22:35" x14ac:dyDescent="0.2"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22:35" x14ac:dyDescent="0.2"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22:35" x14ac:dyDescent="0.2"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22:35" x14ac:dyDescent="0.2"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22:35" x14ac:dyDescent="0.2"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22:35" x14ac:dyDescent="0.2"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22:35" x14ac:dyDescent="0.2"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22:35" x14ac:dyDescent="0.2"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22:35" x14ac:dyDescent="0.2"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22:35" x14ac:dyDescent="0.2"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22:35" x14ac:dyDescent="0.2"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22:35" x14ac:dyDescent="0.2"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22:35" x14ac:dyDescent="0.2"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22:35" x14ac:dyDescent="0.2"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22:35" x14ac:dyDescent="0.2"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22:35" x14ac:dyDescent="0.2"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22:35" x14ac:dyDescent="0.2"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22:35" x14ac:dyDescent="0.2"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22:35" x14ac:dyDescent="0.2"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22:35" x14ac:dyDescent="0.2"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22:35" x14ac:dyDescent="0.2"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22:35" x14ac:dyDescent="0.2"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22:35" x14ac:dyDescent="0.2"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22:35" x14ac:dyDescent="0.2"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22:35" x14ac:dyDescent="0.2"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22:35" x14ac:dyDescent="0.2"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22:35" x14ac:dyDescent="0.2"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22:35" x14ac:dyDescent="0.2"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22:35" x14ac:dyDescent="0.2"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22:35" x14ac:dyDescent="0.2"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22:35" x14ac:dyDescent="0.2"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22:35" x14ac:dyDescent="0.2"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22:35" x14ac:dyDescent="0.2"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22:35" x14ac:dyDescent="0.2"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22:35" x14ac:dyDescent="0.2"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22:35" x14ac:dyDescent="0.2"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22:35" x14ac:dyDescent="0.2"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22:35" x14ac:dyDescent="0.2"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22:35" x14ac:dyDescent="0.2"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22:35" x14ac:dyDescent="0.2"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22:35" x14ac:dyDescent="0.2"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22:35" x14ac:dyDescent="0.2"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22:35" x14ac:dyDescent="0.2"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22:35" x14ac:dyDescent="0.2"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22:35" x14ac:dyDescent="0.2"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22:35" x14ac:dyDescent="0.2"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22:35" x14ac:dyDescent="0.2"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22:35" x14ac:dyDescent="0.2"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22:35" x14ac:dyDescent="0.2"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22:35" x14ac:dyDescent="0.2"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22:35" x14ac:dyDescent="0.2"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22:35" x14ac:dyDescent="0.2"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22:35" x14ac:dyDescent="0.2"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22:35" x14ac:dyDescent="0.2"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22:35" x14ac:dyDescent="0.2"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22:35" x14ac:dyDescent="0.2"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22:35" x14ac:dyDescent="0.2"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22:35" x14ac:dyDescent="0.2"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22:35" x14ac:dyDescent="0.2"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22:35" x14ac:dyDescent="0.2"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22:35" x14ac:dyDescent="0.2"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22:35" x14ac:dyDescent="0.2"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22:35" x14ac:dyDescent="0.2"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22:35" x14ac:dyDescent="0.2"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22:35" x14ac:dyDescent="0.2"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22:35" x14ac:dyDescent="0.2"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22:35" x14ac:dyDescent="0.2"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22:35" x14ac:dyDescent="0.2"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22:35" x14ac:dyDescent="0.2"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22:35" x14ac:dyDescent="0.2"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22:35" x14ac:dyDescent="0.2"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22:35" x14ac:dyDescent="0.2"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22:35" x14ac:dyDescent="0.2"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22:35" x14ac:dyDescent="0.2"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22:35" x14ac:dyDescent="0.2"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22:35" x14ac:dyDescent="0.2"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22:35" x14ac:dyDescent="0.2"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22:35" x14ac:dyDescent="0.2"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22:35" x14ac:dyDescent="0.2"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22:35" x14ac:dyDescent="0.2"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22:35" x14ac:dyDescent="0.2"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22:35" x14ac:dyDescent="0.2"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22:35" x14ac:dyDescent="0.2"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22:35" x14ac:dyDescent="0.2"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22:35" x14ac:dyDescent="0.2"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22:35" x14ac:dyDescent="0.2"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22:35" x14ac:dyDescent="0.2"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22:35" x14ac:dyDescent="0.2"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22:35" x14ac:dyDescent="0.2"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22:35" x14ac:dyDescent="0.2"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22:35" x14ac:dyDescent="0.2"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22:35" x14ac:dyDescent="0.2"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22:35" x14ac:dyDescent="0.2"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22:35" x14ac:dyDescent="0.2"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22:35" x14ac:dyDescent="0.2"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22:35" x14ac:dyDescent="0.2"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22:35" x14ac:dyDescent="0.2"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22:35" x14ac:dyDescent="0.2"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22:35" x14ac:dyDescent="0.2"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22:35" x14ac:dyDescent="0.2"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22:35" x14ac:dyDescent="0.2"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22:35" x14ac:dyDescent="0.2"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22:35" x14ac:dyDescent="0.2"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22:35" x14ac:dyDescent="0.2"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22:35" x14ac:dyDescent="0.2"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22:35" x14ac:dyDescent="0.2"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22:35" x14ac:dyDescent="0.2"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22:35" x14ac:dyDescent="0.2"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22:35" x14ac:dyDescent="0.2"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22:35" x14ac:dyDescent="0.2"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22:35" x14ac:dyDescent="0.2"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22:35" x14ac:dyDescent="0.2"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22:35" x14ac:dyDescent="0.2"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22:35" x14ac:dyDescent="0.2"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22:35" x14ac:dyDescent="0.2"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22:35" x14ac:dyDescent="0.2"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22:35" x14ac:dyDescent="0.2"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22:35" x14ac:dyDescent="0.2"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22:35" x14ac:dyDescent="0.2"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22:35" x14ac:dyDescent="0.2"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22:35" x14ac:dyDescent="0.2"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22:35" x14ac:dyDescent="0.2"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22:35" x14ac:dyDescent="0.2"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22:35" x14ac:dyDescent="0.2"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22:35" x14ac:dyDescent="0.2"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22:35" x14ac:dyDescent="0.2"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22:35" x14ac:dyDescent="0.2"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22:35" x14ac:dyDescent="0.2"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22:35" x14ac:dyDescent="0.2"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22:35" x14ac:dyDescent="0.2"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22:35" x14ac:dyDescent="0.2"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22:35" x14ac:dyDescent="0.2"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22:35" x14ac:dyDescent="0.2"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22:35" x14ac:dyDescent="0.2"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22:35" x14ac:dyDescent="0.2"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22:35" x14ac:dyDescent="0.2"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22:35" x14ac:dyDescent="0.2"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22:35" x14ac:dyDescent="0.2"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22:35" x14ac:dyDescent="0.2"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22:35" x14ac:dyDescent="0.2"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22:35" x14ac:dyDescent="0.2"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22:35" x14ac:dyDescent="0.2"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22:35" x14ac:dyDescent="0.2"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22:35" x14ac:dyDescent="0.2"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22:35" x14ac:dyDescent="0.2"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22:35" x14ac:dyDescent="0.2"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22:35" x14ac:dyDescent="0.2"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22:35" x14ac:dyDescent="0.2"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22:35" x14ac:dyDescent="0.2"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22:35" x14ac:dyDescent="0.2"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22:35" x14ac:dyDescent="0.2"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22:35" x14ac:dyDescent="0.2"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22:35" x14ac:dyDescent="0.2"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22:35" x14ac:dyDescent="0.2"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22:35" x14ac:dyDescent="0.2"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22:35" x14ac:dyDescent="0.2"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22:35" x14ac:dyDescent="0.2"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22:35" x14ac:dyDescent="0.2"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22:35" x14ac:dyDescent="0.2"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22:35" x14ac:dyDescent="0.2"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22:35" x14ac:dyDescent="0.2"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22:35" x14ac:dyDescent="0.2"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22:35" x14ac:dyDescent="0.2"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22:35" x14ac:dyDescent="0.2"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22:35" x14ac:dyDescent="0.2"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22:35" x14ac:dyDescent="0.2"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22:35" x14ac:dyDescent="0.2"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22:35" x14ac:dyDescent="0.2"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22:35" x14ac:dyDescent="0.2"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22:35" x14ac:dyDescent="0.2"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22:35" x14ac:dyDescent="0.2"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22:35" x14ac:dyDescent="0.2"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22:35" x14ac:dyDescent="0.2"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22:35" x14ac:dyDescent="0.2"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22:35" x14ac:dyDescent="0.2"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22:35" x14ac:dyDescent="0.2"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22:35" x14ac:dyDescent="0.2"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22:35" x14ac:dyDescent="0.2"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22:35" x14ac:dyDescent="0.2"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22:35" x14ac:dyDescent="0.2"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22:35" x14ac:dyDescent="0.2"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22:35" x14ac:dyDescent="0.2"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22:35" x14ac:dyDescent="0.2"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22:35" x14ac:dyDescent="0.2"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22:35" x14ac:dyDescent="0.2"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22:35" x14ac:dyDescent="0.2"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22:35" x14ac:dyDescent="0.2"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22:35" x14ac:dyDescent="0.2"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22:35" x14ac:dyDescent="0.2"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22:35" x14ac:dyDescent="0.2"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22:35" x14ac:dyDescent="0.2"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22:35" x14ac:dyDescent="0.2"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22:35" x14ac:dyDescent="0.2"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22:35" x14ac:dyDescent="0.2"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22:35" x14ac:dyDescent="0.2"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22:35" x14ac:dyDescent="0.2"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22:35" x14ac:dyDescent="0.2"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22:35" x14ac:dyDescent="0.2"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22:35" x14ac:dyDescent="0.2"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22:35" x14ac:dyDescent="0.2"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22:35" x14ac:dyDescent="0.2"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22:35" x14ac:dyDescent="0.2"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22:35" x14ac:dyDescent="0.2"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22:35" x14ac:dyDescent="0.2"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22:35" x14ac:dyDescent="0.2"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22:35" x14ac:dyDescent="0.2"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22:35" x14ac:dyDescent="0.2"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22:35" x14ac:dyDescent="0.2"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22:35" x14ac:dyDescent="0.2"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22:35" x14ac:dyDescent="0.2"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22:35" x14ac:dyDescent="0.2"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22:35" x14ac:dyDescent="0.2"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22:35" x14ac:dyDescent="0.2"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22:35" x14ac:dyDescent="0.2"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22:35" x14ac:dyDescent="0.2"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22:35" x14ac:dyDescent="0.2"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22:35" x14ac:dyDescent="0.2"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22:35" x14ac:dyDescent="0.2"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22:35" x14ac:dyDescent="0.2"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22:35" x14ac:dyDescent="0.2"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22:35" x14ac:dyDescent="0.2"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22:35" x14ac:dyDescent="0.2"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22:35" x14ac:dyDescent="0.2"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22:35" x14ac:dyDescent="0.2"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22:35" x14ac:dyDescent="0.2"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22:35" x14ac:dyDescent="0.2"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22:35" x14ac:dyDescent="0.2"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22:35" x14ac:dyDescent="0.2"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22:35" x14ac:dyDescent="0.2"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22:35" x14ac:dyDescent="0.2"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22:35" x14ac:dyDescent="0.2"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22:35" x14ac:dyDescent="0.2"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22:35" x14ac:dyDescent="0.2"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22:35" x14ac:dyDescent="0.2"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22:35" x14ac:dyDescent="0.2"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22:35" x14ac:dyDescent="0.2"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22:35" x14ac:dyDescent="0.2"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22:35" x14ac:dyDescent="0.2"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22:35" x14ac:dyDescent="0.2"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22:35" x14ac:dyDescent="0.2"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22:35" x14ac:dyDescent="0.2"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22:35" x14ac:dyDescent="0.2"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22:35" x14ac:dyDescent="0.2"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22:35" x14ac:dyDescent="0.2"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22:35" x14ac:dyDescent="0.2"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22:35" x14ac:dyDescent="0.2"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22:35" x14ac:dyDescent="0.2"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22:35" x14ac:dyDescent="0.2"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22:35" x14ac:dyDescent="0.2"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22:35" x14ac:dyDescent="0.2"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22:35" x14ac:dyDescent="0.2"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22:35" x14ac:dyDescent="0.2"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22:35" x14ac:dyDescent="0.2"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22:35" x14ac:dyDescent="0.2"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22:35" x14ac:dyDescent="0.2"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22:35" x14ac:dyDescent="0.2"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22:35" x14ac:dyDescent="0.2"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22:35" x14ac:dyDescent="0.2"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22:35" x14ac:dyDescent="0.2"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22:35" x14ac:dyDescent="0.2"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22:35" x14ac:dyDescent="0.2"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22:35" x14ac:dyDescent="0.2"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22:35" x14ac:dyDescent="0.2"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22:35" x14ac:dyDescent="0.2"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22:35" x14ac:dyDescent="0.2"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22:35" x14ac:dyDescent="0.2"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22:35" x14ac:dyDescent="0.2"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22:35" x14ac:dyDescent="0.2"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22:35" x14ac:dyDescent="0.2"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22:35" x14ac:dyDescent="0.2"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22:35" x14ac:dyDescent="0.2"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22:35" x14ac:dyDescent="0.2"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22:35" x14ac:dyDescent="0.2"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22:35" x14ac:dyDescent="0.2"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22:35" x14ac:dyDescent="0.2"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22:35" x14ac:dyDescent="0.2"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22:35" x14ac:dyDescent="0.2"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22:35" x14ac:dyDescent="0.2"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22:35" x14ac:dyDescent="0.2"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22:35" x14ac:dyDescent="0.2"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22:35" x14ac:dyDescent="0.2"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22:35" x14ac:dyDescent="0.2"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22:35" x14ac:dyDescent="0.2"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22:35" x14ac:dyDescent="0.2"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22:35" x14ac:dyDescent="0.2"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22:35" x14ac:dyDescent="0.2"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22:35" x14ac:dyDescent="0.2"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22:35" x14ac:dyDescent="0.2"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22:35" x14ac:dyDescent="0.2"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22:35" x14ac:dyDescent="0.2"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22:35" x14ac:dyDescent="0.2"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22:35" x14ac:dyDescent="0.2"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22:35" x14ac:dyDescent="0.2"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22:35" x14ac:dyDescent="0.2"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22:35" x14ac:dyDescent="0.2"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22:35" x14ac:dyDescent="0.2"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22:35" x14ac:dyDescent="0.2"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</sheetData>
  <mergeCells count="6">
    <mergeCell ref="B2:AC2"/>
    <mergeCell ref="B3:U3"/>
    <mergeCell ref="C4:E4"/>
    <mergeCell ref="C5:E5"/>
    <mergeCell ref="C6:E6"/>
    <mergeCell ref="C7:E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>
                <anchor moveWithCells="1">
                  <from>
                    <xdr:col>2</xdr:col>
                    <xdr:colOff>152400</xdr:colOff>
                    <xdr:row>4</xdr:row>
                    <xdr:rowOff>333375</xdr:rowOff>
                  </from>
                  <to>
                    <xdr:col>3</xdr:col>
                    <xdr:colOff>9525</xdr:colOff>
                    <xdr:row>4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pinner 2">
              <controlPr defaultSize="0" autoPict="0">
                <anchor moveWithCells="1" sizeWithCells="1">
                  <from>
                    <xdr:col>2</xdr:col>
                    <xdr:colOff>1152525</xdr:colOff>
                    <xdr:row>8</xdr:row>
                    <xdr:rowOff>47625</xdr:rowOff>
                  </from>
                  <to>
                    <xdr:col>5</xdr:col>
                    <xdr:colOff>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croll Bar 3">
              <controlPr defaultSize="0" autoPict="0">
                <anchor moveWithCells="1">
                  <from>
                    <xdr:col>2</xdr:col>
                    <xdr:colOff>171450</xdr:colOff>
                    <xdr:row>5</xdr:row>
                    <xdr:rowOff>323850</xdr:rowOff>
                  </from>
                  <to>
                    <xdr:col>3</xdr:col>
                    <xdr:colOff>19050</xdr:colOff>
                    <xdr:row>5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croll Bar 4">
              <controlPr defaultSize="0" autoPict="0">
                <anchor moveWithCells="1">
                  <from>
                    <xdr:col>2</xdr:col>
                    <xdr:colOff>171450</xdr:colOff>
                    <xdr:row>6</xdr:row>
                    <xdr:rowOff>333375</xdr:rowOff>
                  </from>
                  <to>
                    <xdr:col>3</xdr:col>
                    <xdr:colOff>28575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Scroll Bar 5">
              <controlPr defaultSize="0" autoPict="0">
                <anchor moveWithCells="1">
                  <from>
                    <xdr:col>2</xdr:col>
                    <xdr:colOff>152400</xdr:colOff>
                    <xdr:row>3</xdr:row>
                    <xdr:rowOff>333375</xdr:rowOff>
                  </from>
                  <to>
                    <xdr:col>3</xdr:col>
                    <xdr:colOff>19050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Spinner 6">
              <controlPr defaultSize="0" autoPict="0">
                <anchor moveWithCells="1" sizeWithCells="1">
                  <from>
                    <xdr:col>22</xdr:col>
                    <xdr:colOff>219075</xdr:colOff>
                    <xdr:row>3</xdr:row>
                    <xdr:rowOff>447675</xdr:rowOff>
                  </from>
                  <to>
                    <xdr:col>23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Three_Year_Average_freq</xm:f>
              <xm:sqref>C103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TYA_AF_freq</xm:f>
              <xm:sqref>C105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Q_1_freq</xm:f>
              <xm:sqref>C83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Q_10_freq</xm:f>
              <xm:sqref>L83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Q_11_freq</xm:f>
              <xm:sqref>M83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Q_12_freq</xm:f>
              <xm:sqref>N83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Q_2_freq</xm:f>
              <xm:sqref>D83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Q_3_freq</xm:f>
              <xm:sqref>E83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Q_4_freq</xm:f>
              <xm:sqref>F83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Q_5_freq</xm:f>
              <xm:sqref>G83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Q_6_freq</xm:f>
              <xm:sqref>H83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Q_7_freq</xm:f>
              <xm:sqref>I83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Q_8_freq</xm:f>
              <xm:sqref>J83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Q_9_freq</xm:f>
              <xm:sqref>K83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AWF_Q_1_freq</xm:f>
              <xm:sqref>C85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AWF_Q_2_freq</xm:f>
              <xm:sqref>D85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AWF_Q_3_freq</xm:f>
              <xm:sqref>E85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AWF_Q_4_freq</xm:f>
              <xm:sqref>F85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AWF_Q_5_freq</xm:f>
              <xm:sqref>G85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AWF_Q_6_freq</xm:f>
              <xm:sqref>H85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AWF_Q_7_freq</xm:f>
              <xm:sqref>I85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AWF_Q_8_freq</xm:f>
              <xm:sqref>J85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AWF_Q_9_freq</xm:f>
              <xm:sqref>K85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AWF_Q_10_freq</xm:f>
              <xm:sqref>L85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AWF_Q_11_freq</xm:f>
              <xm:sqref>M85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AWF_Q_12_freq</xm:f>
              <xm:sqref>N85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Total_Quartery_Award_Fee_freq</xm:f>
              <xm:sqref>O85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RQ_1_freq</xm:f>
              <xm:sqref>C91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RQ_10_freq</xm:f>
              <xm:sqref>L91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RQ_11_freq</xm:f>
              <xm:sqref>M91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RQ_12_freq</xm:f>
              <xm:sqref>N91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RQ_2_freq</xm:f>
              <xm:sqref>D91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RQ_3_freq</xm:f>
              <xm:sqref>E91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RQ_4_freq</xm:f>
              <xm:sqref>F91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RQ_5_freq</xm:f>
              <xm:sqref>G91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RQ_6_freq</xm:f>
              <xm:sqref>H91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RQ_7_freq</xm:f>
              <xm:sqref>I91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RQ_8_freq</xm:f>
              <xm:sqref>J91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RQ_9_freq</xm:f>
              <xm:sqref>K91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AWF_Q_1_freq</xm:f>
              <xm:sqref>C93</xm:sqref>
            </x14:sparkline>
            <x14:sparkline>
              <xm:f>AWF_Q_1_freq</xm:f>
              <xm:sqref>D93</xm:sqref>
            </x14:sparkline>
            <x14:sparkline>
              <xm:f>AWF_Q_1_freq</xm:f>
              <xm:sqref>E93</xm:sqref>
            </x14:sparkline>
            <x14:sparkline>
              <xm:f>AWF_Q_1_freq</xm:f>
              <xm:sqref>F93</xm:sqref>
            </x14:sparkline>
            <x14:sparkline>
              <xm:f>AWF_Q_1_freq</xm:f>
              <xm:sqref>G93</xm:sqref>
            </x14:sparkline>
            <x14:sparkline>
              <xm:f>AWF_Q_1_freq</xm:f>
              <xm:sqref>H93</xm:sqref>
            </x14:sparkline>
            <x14:sparkline>
              <xm:f>AWF_Q_1_freq</xm:f>
              <xm:sqref>I93</xm:sqref>
            </x14:sparkline>
            <x14:sparkline>
              <xm:f>AWF_Q_1_freq</xm:f>
              <xm:sqref>J93</xm:sqref>
            </x14:sparkline>
            <x14:sparkline>
              <xm:f>AWF_Q_1_freq</xm:f>
              <xm:sqref>K93</xm:sqref>
            </x14:sparkline>
            <x14:sparkline>
              <xm:f>AWF_Q_1_freq</xm:f>
              <xm:sqref>L93</xm:sqref>
            </x14:sparkline>
            <x14:sparkline>
              <xm:f>AWF_Q_1_freq</xm:f>
              <xm:sqref>M93</xm:sqref>
            </x14:sparkline>
            <x14:sparkline>
              <xm:f>AWF_Q_1_freq</xm:f>
              <xm:sqref>N93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Total_Quartery_Award_Fee_freq</xm:f>
              <xm:sqref>O93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AWF_Q_1_freq</xm:f>
              <xm:sqref>C99</xm:sqref>
            </x14:sparkline>
            <x14:sparkline>
              <xm:f>AWF_Q_1_freq</xm:f>
              <xm:sqref>D99</xm:sqref>
            </x14:sparkline>
            <x14:sparkline>
              <xm:f>AWF_Q_1_freq</xm:f>
              <xm:sqref>E99</xm:sqref>
            </x14:sparkline>
            <x14:sparkline>
              <xm:f>AWF_Q_1_freq</xm:f>
              <xm:sqref>F99</xm:sqref>
            </x14:sparkline>
            <x14:sparkline>
              <xm:f>AWF_Q_1_freq</xm:f>
              <xm:sqref>G99</xm:sqref>
            </x14:sparkline>
            <x14:sparkline>
              <xm:f>AWF_Q_1_freq</xm:f>
              <xm:sqref>H99</xm:sqref>
            </x14:sparkline>
            <x14:sparkline>
              <xm:f>AWF_Q_1_freq</xm:f>
              <xm:sqref>I99</xm:sqref>
            </x14:sparkline>
            <x14:sparkline>
              <xm:f>AWF_Q_1_freq</xm:f>
              <xm:sqref>J99</xm:sqref>
            </x14:sparkline>
            <x14:sparkline>
              <xm:f>AWF_Q_1_freq</xm:f>
              <xm:sqref>K99</xm:sqref>
            </x14:sparkline>
            <x14:sparkline>
              <xm:f>AWF_Q_1_freq</xm:f>
              <xm:sqref>L99</xm:sqref>
            </x14:sparkline>
            <x14:sparkline>
              <xm:f>AWF_Q_1_freq</xm:f>
              <xm:sqref>M99</xm:sqref>
            </x14:sparkline>
            <x14:sparkline>
              <xm:f>AWF_Q_1_freq</xm:f>
              <xm:sqref>N99</xm:sqref>
            </x14:sparkline>
            <x14:sparkline>
              <xm:f>AWF_Q_1_freq</xm:f>
              <xm:sqref>O99</xm:sqref>
            </x14:sparkline>
            <x14:sparkline>
              <xm:f>AWF_Q_1_freq</xm:f>
              <xm:sqref>P99</xm:sqref>
            </x14:sparkline>
            <x14:sparkline>
              <xm:f>AWF_Q_1_freq</xm:f>
              <xm:sqref>Q99</xm:sqref>
            </x14:sparkline>
            <x14:sparkline>
              <xm:f>AWF_Q_1_freq</xm:f>
              <xm:sqref>R99</xm:sqref>
            </x14:sparkline>
            <x14:sparkline>
              <xm:f>AWF_Q_1_freq</xm:f>
              <xm:sqref>S99</xm:sqref>
            </x14:sparkline>
            <x14:sparkline>
              <xm:f>AWF_Q_1_freq</xm:f>
              <xm:sqref>T99</xm:sqref>
            </x14:sparkline>
            <x14:sparkline>
              <xm:f>AWF_Q_1_freq</xm:f>
              <xm:sqref>U99</xm:sqref>
            </x14:sparkline>
            <x14:sparkline>
              <xm:f>AWF_Q_1_freq</xm:f>
              <xm:sqref>V99</xm:sqref>
            </x14:sparkline>
            <x14:sparkline>
              <xm:f>AWF_Q_1_freq</xm:f>
              <xm:sqref>W99</xm:sqref>
            </x14:sparkline>
            <x14:sparkline>
              <xm:f>AWF_Q_1_freq</xm:f>
              <xm:sqref>X99</xm:sqref>
            </x14:sparkline>
            <x14:sparkline>
              <xm:f>AWF_Q_1_freq</xm:f>
              <xm:sqref>Y99</xm:sqref>
            </x14:sparkline>
            <x14:sparkline>
              <xm:f>AWF_Q_1_freq</xm:f>
              <xm:sqref>Z99</xm:sqref>
            </x14:sparkline>
            <x14:sparkline>
              <xm:f>AWF_Q_1_freq</xm:f>
              <xm:sqref>AA99</xm:sqref>
            </x14:sparkline>
            <x14:sparkline>
              <xm:f>AWF_Q_1_freq</xm:f>
              <xm:sqref>AB99</xm:sqref>
            </x14:sparkline>
            <x14:sparkline>
              <xm:f>AWF_Q_1_freq</xm:f>
              <xm:sqref>AC99</xm:sqref>
            </x14:sparkline>
            <x14:sparkline>
              <xm:f>AWF_Q_1_freq</xm:f>
              <xm:sqref>AD99</xm:sqref>
            </x14:sparkline>
            <x14:sparkline>
              <xm:f>AWF_Q_1_freq</xm:f>
              <xm:sqref>AE99</xm:sqref>
            </x14:sparkline>
            <x14:sparkline>
              <xm:f>AWF_Q_1_freq</xm:f>
              <xm:sqref>AF99</xm:sqref>
            </x14:sparkline>
            <x14:sparkline>
              <xm:f>AWF_Q_1_freq</xm:f>
              <xm:sqref>AG99</xm:sqref>
            </x14:sparkline>
            <x14:sparkline>
              <xm:f>AWF_Q_1_freq</xm:f>
              <xm:sqref>AH99</xm:sqref>
            </x14:sparkline>
            <x14:sparkline>
              <xm:f>AWF_Q_1_freq</xm:f>
              <xm:sqref>AI99</xm:sqref>
            </x14:sparkline>
            <x14:sparkline>
              <xm:f>AWF_Q_1_freq</xm:f>
              <xm:sqref>AJ99</xm:sqref>
            </x14:sparkline>
            <x14:sparkline>
              <xm:f>AWF_Q_1_freq</xm:f>
              <xm:sqref>AK99</xm:sqref>
            </x14:sparkline>
            <x14:sparkline>
              <xm:f>AWF_Q_1_freq</xm:f>
              <xm:sqref>AL99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M_1_freq</xm:f>
              <xm:sqref>C97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M_10_freq</xm:f>
              <xm:sqref>L97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M_11_freq</xm:f>
              <xm:sqref>M97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M_12_freq</xm:f>
              <xm:sqref>N97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M_13_freq</xm:f>
              <xm:sqref>O97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M_14_freq</xm:f>
              <xm:sqref>P97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M_15_freq</xm:f>
              <xm:sqref>Q97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M_16_freq</xm:f>
              <xm:sqref>R97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M_17_freq</xm:f>
              <xm:sqref>S97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M_18_freq</xm:f>
              <xm:sqref>T97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M_19_freq</xm:f>
              <xm:sqref>U97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M_2_freq</xm:f>
              <xm:sqref>D97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M_20_freq</xm:f>
              <xm:sqref>V97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M_21_freq</xm:f>
              <xm:sqref>W97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M_22_freq</xm:f>
              <xm:sqref>X97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M_23_freq</xm:f>
              <xm:sqref>Y97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M_24_freq</xm:f>
              <xm:sqref>Z97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M_25_freq</xm:f>
              <xm:sqref>AA97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M_26_freq</xm:f>
              <xm:sqref>AB97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M_27_freq</xm:f>
              <xm:sqref>AC97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M_28_freq</xm:f>
              <xm:sqref>AD97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M_29_freq</xm:f>
              <xm:sqref>AE97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M_3_freq</xm:f>
              <xm:sqref>E97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M_30_freq</xm:f>
              <xm:sqref>AF97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M_31_freq</xm:f>
              <xm:sqref>AG97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M_32_freq</xm:f>
              <xm:sqref>AH97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M_33_freq</xm:f>
              <xm:sqref>AI97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M_34_freq</xm:f>
              <xm:sqref>AJ97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M_35_freq</xm:f>
              <xm:sqref>AK97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M_36_freq</xm:f>
              <xm:sqref>AL97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M_4_freq</xm:f>
              <xm:sqref>F97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M_5_freq</xm:f>
              <xm:sqref>G97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M_6_freq</xm:f>
              <xm:sqref>H97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M_7_freq</xm:f>
              <xm:sqref>I97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M_8_freq</xm:f>
              <xm:sqref>J97</xm:sqref>
            </x14:sparkline>
          </x14:sparklines>
        </x14:sparklineGroup>
        <x14:sparklineGroup manualMin="0" type="column" displayEmptyCellsAs="gap" minAxisType="custom">
          <x14:colorSeries rgb="FF92D05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M_9_freq</xm:f>
              <xm:sqref>K97</xm:sqref>
            </x14:sparkline>
          </x14:sparklines>
        </x14:sparklineGroup>
        <x14:sparklineGroup manualMin="0" type="column" displayEmptyCellsAs="gap" minAxisType="custom">
          <x14:colorSeries rgb="FF00B0F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Total_Monthly_Award_Fee_freq</xm:f>
              <xm:sqref>AM99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4" sqref="G14"/>
    </sheetView>
  </sheetViews>
  <sheetFormatPr defaultRowHeight="12.75" x14ac:dyDescent="0.2"/>
  <sheetData>
    <row r="1" spans="1:1" x14ac:dyDescent="0.2">
      <c r="A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3"/>
  <sheetViews>
    <sheetView topLeftCell="A85" workbookViewId="0">
      <selection activeCell="I94" sqref="I94"/>
    </sheetView>
  </sheetViews>
  <sheetFormatPr defaultRowHeight="12.75" x14ac:dyDescent="0.2"/>
  <sheetData>
    <row r="1" spans="1:6" x14ac:dyDescent="0.2">
      <c r="A1" s="7">
        <v>1</v>
      </c>
      <c r="B1" t="s">
        <v>27</v>
      </c>
    </row>
    <row r="2" spans="1:6" x14ac:dyDescent="0.2">
      <c r="B2" t="s">
        <v>28</v>
      </c>
      <c r="C2" t="s">
        <v>83</v>
      </c>
      <c r="D2" t="s">
        <v>57</v>
      </c>
      <c r="E2" t="s">
        <v>157</v>
      </c>
      <c r="F2" t="s">
        <v>170</v>
      </c>
    </row>
    <row r="3" spans="1:6" x14ac:dyDescent="0.2">
      <c r="B3" s="10" t="s">
        <v>29</v>
      </c>
      <c r="C3" s="11">
        <f>'Front End'!$O$93</f>
        <v>60</v>
      </c>
      <c r="D3" s="11">
        <f>'Front End'!$O$85</f>
        <v>60</v>
      </c>
      <c r="E3" s="11">
        <f>'Front End'!$AM$99</f>
        <v>54.999999999999979</v>
      </c>
      <c r="F3" s="11">
        <f>'Front End'!$C$105</f>
        <v>60</v>
      </c>
    </row>
    <row r="4" spans="1:6" x14ac:dyDescent="0.2">
      <c r="B4" s="12">
        <v>1</v>
      </c>
      <c r="C4" s="14">
        <f t="dataTable" ref="C4:F103" dt2D="0" dtr="0" r1="A1"/>
        <v>60</v>
      </c>
      <c r="D4" s="14">
        <v>60</v>
      </c>
      <c r="E4" s="14">
        <v>54.999999999999979</v>
      </c>
      <c r="F4" s="14">
        <v>60</v>
      </c>
    </row>
    <row r="5" spans="1:6" x14ac:dyDescent="0.2">
      <c r="B5" s="12">
        <v>2</v>
      </c>
      <c r="C5" s="14">
        <v>60</v>
      </c>
      <c r="D5" s="14">
        <v>60</v>
      </c>
      <c r="E5" s="14">
        <v>49.999999999999986</v>
      </c>
      <c r="F5" s="14">
        <v>60</v>
      </c>
    </row>
    <row r="6" spans="1:6" x14ac:dyDescent="0.2">
      <c r="B6" s="12">
        <v>3</v>
      </c>
      <c r="C6" s="14">
        <v>60</v>
      </c>
      <c r="D6" s="14">
        <v>60</v>
      </c>
      <c r="E6" s="14">
        <v>54.999999999999979</v>
      </c>
      <c r="F6" s="14">
        <v>60</v>
      </c>
    </row>
    <row r="7" spans="1:6" x14ac:dyDescent="0.2">
      <c r="B7" s="12">
        <v>4</v>
      </c>
      <c r="C7" s="14">
        <v>60</v>
      </c>
      <c r="D7" s="14">
        <v>60</v>
      </c>
      <c r="E7" s="14">
        <v>58.333333333333307</v>
      </c>
      <c r="F7" s="14">
        <v>60</v>
      </c>
    </row>
    <row r="8" spans="1:6" x14ac:dyDescent="0.2">
      <c r="B8" s="12">
        <v>5</v>
      </c>
      <c r="C8" s="14">
        <v>60</v>
      </c>
      <c r="D8" s="14">
        <v>60</v>
      </c>
      <c r="E8" s="14">
        <v>56.666666666666643</v>
      </c>
      <c r="F8" s="14">
        <v>60</v>
      </c>
    </row>
    <row r="9" spans="1:6" x14ac:dyDescent="0.2">
      <c r="B9" s="12">
        <v>6</v>
      </c>
      <c r="C9" s="14">
        <v>60</v>
      </c>
      <c r="D9" s="14">
        <v>55</v>
      </c>
      <c r="E9" s="14">
        <v>53.333333333333314</v>
      </c>
      <c r="F9" s="14">
        <v>60</v>
      </c>
    </row>
    <row r="10" spans="1:6" x14ac:dyDescent="0.2">
      <c r="B10" s="12">
        <v>7</v>
      </c>
      <c r="C10" s="14">
        <v>60</v>
      </c>
      <c r="D10" s="14">
        <v>60</v>
      </c>
      <c r="E10" s="14">
        <v>59.999999999999972</v>
      </c>
      <c r="F10" s="14">
        <v>60</v>
      </c>
    </row>
    <row r="11" spans="1:6" x14ac:dyDescent="0.2">
      <c r="B11" s="12">
        <v>8</v>
      </c>
      <c r="C11" s="14">
        <v>60</v>
      </c>
      <c r="D11" s="14">
        <v>60</v>
      </c>
      <c r="E11" s="14">
        <v>54.999999999999979</v>
      </c>
      <c r="F11" s="14">
        <v>60</v>
      </c>
    </row>
    <row r="12" spans="1:6" x14ac:dyDescent="0.2">
      <c r="B12" s="12">
        <v>9</v>
      </c>
      <c r="C12" s="14">
        <v>60</v>
      </c>
      <c r="D12" s="14">
        <v>55</v>
      </c>
      <c r="E12" s="14">
        <v>54.999999999999979</v>
      </c>
      <c r="F12" s="14">
        <v>60</v>
      </c>
    </row>
    <row r="13" spans="1:6" x14ac:dyDescent="0.2">
      <c r="B13" s="12">
        <v>10</v>
      </c>
      <c r="C13" s="14">
        <v>60</v>
      </c>
      <c r="D13" s="14">
        <v>60</v>
      </c>
      <c r="E13" s="14">
        <v>59.999999999999972</v>
      </c>
      <c r="F13" s="14">
        <v>60</v>
      </c>
    </row>
    <row r="14" spans="1:6" x14ac:dyDescent="0.2">
      <c r="B14" s="12">
        <v>11</v>
      </c>
      <c r="C14" s="14">
        <v>60</v>
      </c>
      <c r="D14" s="14">
        <v>55</v>
      </c>
      <c r="E14" s="14">
        <v>53.333333333333314</v>
      </c>
      <c r="F14" s="14">
        <v>60</v>
      </c>
    </row>
    <row r="15" spans="1:6" x14ac:dyDescent="0.2">
      <c r="B15" s="12">
        <v>12</v>
      </c>
      <c r="C15" s="14">
        <v>60</v>
      </c>
      <c r="D15" s="14">
        <v>60</v>
      </c>
      <c r="E15" s="14">
        <v>54.999999999999979</v>
      </c>
      <c r="F15" s="14">
        <v>60</v>
      </c>
    </row>
    <row r="16" spans="1:6" x14ac:dyDescent="0.2">
      <c r="B16" s="12">
        <v>13</v>
      </c>
      <c r="C16" s="14">
        <v>60</v>
      </c>
      <c r="D16" s="14">
        <v>60</v>
      </c>
      <c r="E16" s="14">
        <v>56.666666666666643</v>
      </c>
      <c r="F16" s="14">
        <v>60</v>
      </c>
    </row>
    <row r="17" spans="2:6" x14ac:dyDescent="0.2">
      <c r="B17" s="12">
        <v>14</v>
      </c>
      <c r="C17" s="14">
        <v>60</v>
      </c>
      <c r="D17" s="14">
        <v>60</v>
      </c>
      <c r="E17" s="14">
        <v>56.666666666666643</v>
      </c>
      <c r="F17" s="14">
        <v>60</v>
      </c>
    </row>
    <row r="18" spans="2:6" x14ac:dyDescent="0.2">
      <c r="B18" s="12">
        <v>15</v>
      </c>
      <c r="C18" s="14">
        <v>60</v>
      </c>
      <c r="D18" s="14">
        <v>60</v>
      </c>
      <c r="E18" s="14">
        <v>53.333333333333314</v>
      </c>
      <c r="F18" s="14">
        <v>60</v>
      </c>
    </row>
    <row r="19" spans="2:6" x14ac:dyDescent="0.2">
      <c r="B19" s="12">
        <v>16</v>
      </c>
      <c r="C19" s="14">
        <v>60</v>
      </c>
      <c r="D19" s="14">
        <v>55</v>
      </c>
      <c r="E19" s="14">
        <v>53.333333333333314</v>
      </c>
      <c r="F19" s="14">
        <v>60</v>
      </c>
    </row>
    <row r="20" spans="2:6" x14ac:dyDescent="0.2">
      <c r="B20" s="12">
        <v>17</v>
      </c>
      <c r="C20" s="14">
        <v>60</v>
      </c>
      <c r="D20" s="14">
        <v>55</v>
      </c>
      <c r="E20" s="14">
        <v>56.666666666666643</v>
      </c>
      <c r="F20" s="14">
        <v>60</v>
      </c>
    </row>
    <row r="21" spans="2:6" x14ac:dyDescent="0.2">
      <c r="B21" s="12">
        <v>18</v>
      </c>
      <c r="C21" s="14">
        <v>60</v>
      </c>
      <c r="D21" s="14">
        <v>60</v>
      </c>
      <c r="E21" s="14">
        <v>59.999999999999972</v>
      </c>
      <c r="F21" s="14">
        <v>60</v>
      </c>
    </row>
    <row r="22" spans="2:6" x14ac:dyDescent="0.2">
      <c r="B22" s="12">
        <v>19</v>
      </c>
      <c r="C22" s="14">
        <v>60</v>
      </c>
      <c r="D22" s="14">
        <v>60</v>
      </c>
      <c r="E22" s="14">
        <v>54.999999999999979</v>
      </c>
      <c r="F22" s="14">
        <v>60</v>
      </c>
    </row>
    <row r="23" spans="2:6" x14ac:dyDescent="0.2">
      <c r="B23" s="12">
        <v>20</v>
      </c>
      <c r="C23" s="14">
        <v>60</v>
      </c>
      <c r="D23" s="14">
        <v>60</v>
      </c>
      <c r="E23" s="14">
        <v>56.666666666666643</v>
      </c>
      <c r="F23" s="14">
        <v>60</v>
      </c>
    </row>
    <row r="24" spans="2:6" x14ac:dyDescent="0.2">
      <c r="B24" s="12">
        <v>21</v>
      </c>
      <c r="C24" s="14">
        <v>60</v>
      </c>
      <c r="D24" s="14">
        <v>55</v>
      </c>
      <c r="E24" s="14">
        <v>51.66666666666665</v>
      </c>
      <c r="F24" s="14">
        <v>60</v>
      </c>
    </row>
    <row r="25" spans="2:6" x14ac:dyDescent="0.2">
      <c r="B25" s="12">
        <v>22</v>
      </c>
      <c r="C25" s="14">
        <v>55</v>
      </c>
      <c r="D25" s="14">
        <v>55</v>
      </c>
      <c r="E25" s="14">
        <v>46.666666666666657</v>
      </c>
      <c r="F25" s="14">
        <v>60</v>
      </c>
    </row>
    <row r="26" spans="2:6" x14ac:dyDescent="0.2">
      <c r="B26" s="12">
        <v>23</v>
      </c>
      <c r="C26" s="14">
        <v>60</v>
      </c>
      <c r="D26" s="14">
        <v>60</v>
      </c>
      <c r="E26" s="14">
        <v>58.333333333333307</v>
      </c>
      <c r="F26" s="14">
        <v>60</v>
      </c>
    </row>
    <row r="27" spans="2:6" x14ac:dyDescent="0.2">
      <c r="B27" s="12">
        <v>24</v>
      </c>
      <c r="C27" s="14">
        <v>60</v>
      </c>
      <c r="D27" s="14">
        <v>60</v>
      </c>
      <c r="E27" s="14">
        <v>53.333333333333314</v>
      </c>
      <c r="F27" s="14">
        <v>60</v>
      </c>
    </row>
    <row r="28" spans="2:6" x14ac:dyDescent="0.2">
      <c r="B28" s="12">
        <v>25</v>
      </c>
      <c r="C28" s="14">
        <v>60</v>
      </c>
      <c r="D28" s="14">
        <v>60</v>
      </c>
      <c r="E28" s="14">
        <v>54.999999999999979</v>
      </c>
      <c r="F28" s="14">
        <v>60</v>
      </c>
    </row>
    <row r="29" spans="2:6" x14ac:dyDescent="0.2">
      <c r="B29" s="12">
        <v>26</v>
      </c>
      <c r="C29" s="14">
        <v>60</v>
      </c>
      <c r="D29" s="14">
        <v>60</v>
      </c>
      <c r="E29" s="14">
        <v>54.999999999999979</v>
      </c>
      <c r="F29" s="14">
        <v>60</v>
      </c>
    </row>
    <row r="30" spans="2:6" x14ac:dyDescent="0.2">
      <c r="B30" s="12">
        <v>27</v>
      </c>
      <c r="C30" s="14">
        <v>60</v>
      </c>
      <c r="D30" s="14">
        <v>60</v>
      </c>
      <c r="E30" s="14">
        <v>54.999999999999979</v>
      </c>
      <c r="F30" s="14">
        <v>60</v>
      </c>
    </row>
    <row r="31" spans="2:6" x14ac:dyDescent="0.2">
      <c r="B31" s="12">
        <v>28</v>
      </c>
      <c r="C31" s="14">
        <v>60</v>
      </c>
      <c r="D31" s="14">
        <v>60</v>
      </c>
      <c r="E31" s="14">
        <v>56.666666666666643</v>
      </c>
      <c r="F31" s="14">
        <v>60</v>
      </c>
    </row>
    <row r="32" spans="2:6" x14ac:dyDescent="0.2">
      <c r="B32" s="12">
        <v>29</v>
      </c>
      <c r="C32" s="14">
        <v>60</v>
      </c>
      <c r="D32" s="14">
        <v>55</v>
      </c>
      <c r="E32" s="14">
        <v>53.333333333333314</v>
      </c>
      <c r="F32" s="14">
        <v>60</v>
      </c>
    </row>
    <row r="33" spans="2:6" x14ac:dyDescent="0.2">
      <c r="B33" s="12">
        <v>30</v>
      </c>
      <c r="C33" s="14">
        <v>60</v>
      </c>
      <c r="D33" s="14">
        <v>60</v>
      </c>
      <c r="E33" s="14">
        <v>51.66666666666665</v>
      </c>
      <c r="F33" s="14">
        <v>60</v>
      </c>
    </row>
    <row r="34" spans="2:6" x14ac:dyDescent="0.2">
      <c r="B34" s="12">
        <v>31</v>
      </c>
      <c r="C34" s="14">
        <v>60</v>
      </c>
      <c r="D34" s="14">
        <v>60</v>
      </c>
      <c r="E34" s="14">
        <v>59.999999999999972</v>
      </c>
      <c r="F34" s="14">
        <v>60</v>
      </c>
    </row>
    <row r="35" spans="2:6" x14ac:dyDescent="0.2">
      <c r="B35" s="12">
        <v>32</v>
      </c>
      <c r="C35" s="14">
        <v>60</v>
      </c>
      <c r="D35" s="14">
        <v>60</v>
      </c>
      <c r="E35" s="14">
        <v>53.333333333333314</v>
      </c>
      <c r="F35" s="14">
        <v>60</v>
      </c>
    </row>
    <row r="36" spans="2:6" x14ac:dyDescent="0.2">
      <c r="B36" s="12">
        <v>33</v>
      </c>
      <c r="C36" s="14">
        <v>60</v>
      </c>
      <c r="D36" s="14">
        <v>60</v>
      </c>
      <c r="E36" s="14">
        <v>59.999999999999972</v>
      </c>
      <c r="F36" s="14">
        <v>60</v>
      </c>
    </row>
    <row r="37" spans="2:6" x14ac:dyDescent="0.2">
      <c r="B37" s="12">
        <v>34</v>
      </c>
      <c r="C37" s="14">
        <v>60</v>
      </c>
      <c r="D37" s="14">
        <v>60</v>
      </c>
      <c r="E37" s="14">
        <v>56.666666666666643</v>
      </c>
      <c r="F37" s="14">
        <v>60</v>
      </c>
    </row>
    <row r="38" spans="2:6" x14ac:dyDescent="0.2">
      <c r="B38" s="12">
        <v>35</v>
      </c>
      <c r="C38" s="14">
        <v>60</v>
      </c>
      <c r="D38" s="14">
        <v>55</v>
      </c>
      <c r="E38" s="14">
        <v>53.333333333333314</v>
      </c>
      <c r="F38" s="14">
        <v>60</v>
      </c>
    </row>
    <row r="39" spans="2:6" x14ac:dyDescent="0.2">
      <c r="B39" s="12">
        <v>36</v>
      </c>
      <c r="C39" s="14">
        <v>55</v>
      </c>
      <c r="D39" s="14">
        <v>50</v>
      </c>
      <c r="E39" s="14">
        <v>53.333333333333314</v>
      </c>
      <c r="F39" s="14">
        <v>60</v>
      </c>
    </row>
    <row r="40" spans="2:6" x14ac:dyDescent="0.2">
      <c r="B40" s="12">
        <v>37</v>
      </c>
      <c r="C40" s="14">
        <v>60</v>
      </c>
      <c r="D40" s="14">
        <v>60</v>
      </c>
      <c r="E40" s="14">
        <v>59.999999999999972</v>
      </c>
      <c r="F40" s="14">
        <v>60</v>
      </c>
    </row>
    <row r="41" spans="2:6" x14ac:dyDescent="0.2">
      <c r="B41" s="12">
        <v>38</v>
      </c>
      <c r="C41" s="14">
        <v>60</v>
      </c>
      <c r="D41" s="14">
        <v>60</v>
      </c>
      <c r="E41" s="14">
        <v>56.666666666666643</v>
      </c>
      <c r="F41" s="14">
        <v>60</v>
      </c>
    </row>
    <row r="42" spans="2:6" x14ac:dyDescent="0.2">
      <c r="B42" s="12">
        <v>39</v>
      </c>
      <c r="C42" s="14">
        <v>60</v>
      </c>
      <c r="D42" s="14">
        <v>55</v>
      </c>
      <c r="E42" s="14">
        <v>54.999999999999979</v>
      </c>
      <c r="F42" s="14">
        <v>60</v>
      </c>
    </row>
    <row r="43" spans="2:6" x14ac:dyDescent="0.2">
      <c r="B43" s="12">
        <v>40</v>
      </c>
      <c r="C43" s="14">
        <v>55</v>
      </c>
      <c r="D43" s="14">
        <v>55</v>
      </c>
      <c r="E43" s="14">
        <v>51.66666666666665</v>
      </c>
      <c r="F43" s="14">
        <v>60</v>
      </c>
    </row>
    <row r="44" spans="2:6" x14ac:dyDescent="0.2">
      <c r="B44" s="12">
        <v>41</v>
      </c>
      <c r="C44" s="14">
        <v>60</v>
      </c>
      <c r="D44" s="14">
        <v>55</v>
      </c>
      <c r="E44" s="14">
        <v>58.333333333333307</v>
      </c>
      <c r="F44" s="14">
        <v>60</v>
      </c>
    </row>
    <row r="45" spans="2:6" x14ac:dyDescent="0.2">
      <c r="B45" s="12">
        <v>42</v>
      </c>
      <c r="C45" s="14">
        <v>60</v>
      </c>
      <c r="D45" s="14">
        <v>60</v>
      </c>
      <c r="E45" s="14">
        <v>51.66666666666665</v>
      </c>
      <c r="F45" s="14">
        <v>60</v>
      </c>
    </row>
    <row r="46" spans="2:6" x14ac:dyDescent="0.2">
      <c r="B46" s="12">
        <v>43</v>
      </c>
      <c r="C46" s="14">
        <v>60</v>
      </c>
      <c r="D46" s="14">
        <v>55</v>
      </c>
      <c r="E46" s="14">
        <v>54.999999999999979</v>
      </c>
      <c r="F46" s="14">
        <v>60</v>
      </c>
    </row>
    <row r="47" spans="2:6" x14ac:dyDescent="0.2">
      <c r="B47" s="12">
        <v>44</v>
      </c>
      <c r="C47" s="14">
        <v>60</v>
      </c>
      <c r="D47" s="14">
        <v>60</v>
      </c>
      <c r="E47" s="14">
        <v>54.999999999999979</v>
      </c>
      <c r="F47" s="14">
        <v>60</v>
      </c>
    </row>
    <row r="48" spans="2:6" x14ac:dyDescent="0.2">
      <c r="B48" s="12">
        <v>45</v>
      </c>
      <c r="C48" s="14">
        <v>60</v>
      </c>
      <c r="D48" s="14">
        <v>60</v>
      </c>
      <c r="E48" s="14">
        <v>54.999999999999979</v>
      </c>
      <c r="F48" s="14">
        <v>60</v>
      </c>
    </row>
    <row r="49" spans="2:6" x14ac:dyDescent="0.2">
      <c r="B49" s="12">
        <v>46</v>
      </c>
      <c r="C49" s="14">
        <v>60</v>
      </c>
      <c r="D49" s="14">
        <v>60</v>
      </c>
      <c r="E49" s="14">
        <v>58.333333333333307</v>
      </c>
      <c r="F49" s="14">
        <v>60</v>
      </c>
    </row>
    <row r="50" spans="2:6" x14ac:dyDescent="0.2">
      <c r="B50" s="12">
        <v>47</v>
      </c>
      <c r="C50" s="14">
        <v>60</v>
      </c>
      <c r="D50" s="14">
        <v>55</v>
      </c>
      <c r="E50" s="14">
        <v>51.66666666666665</v>
      </c>
      <c r="F50" s="14">
        <v>60</v>
      </c>
    </row>
    <row r="51" spans="2:6" x14ac:dyDescent="0.2">
      <c r="B51" s="12">
        <v>48</v>
      </c>
      <c r="C51" s="14">
        <v>60</v>
      </c>
      <c r="D51" s="14">
        <v>60</v>
      </c>
      <c r="E51" s="14">
        <v>56.666666666666643</v>
      </c>
      <c r="F51" s="14">
        <v>60</v>
      </c>
    </row>
    <row r="52" spans="2:6" x14ac:dyDescent="0.2">
      <c r="B52" s="12">
        <v>49</v>
      </c>
      <c r="C52" s="14">
        <v>60</v>
      </c>
      <c r="D52" s="14">
        <v>60</v>
      </c>
      <c r="E52" s="14">
        <v>54.999999999999979</v>
      </c>
      <c r="F52" s="14">
        <v>60</v>
      </c>
    </row>
    <row r="53" spans="2:6" x14ac:dyDescent="0.2">
      <c r="B53" s="12">
        <v>50</v>
      </c>
      <c r="C53" s="14">
        <v>60</v>
      </c>
      <c r="D53" s="14">
        <v>55</v>
      </c>
      <c r="E53" s="14">
        <v>53.333333333333314</v>
      </c>
      <c r="F53" s="14">
        <v>60</v>
      </c>
    </row>
    <row r="54" spans="2:6" x14ac:dyDescent="0.2">
      <c r="B54" s="12">
        <v>51</v>
      </c>
      <c r="C54" s="14">
        <v>60</v>
      </c>
      <c r="D54" s="14">
        <v>60</v>
      </c>
      <c r="E54" s="14">
        <v>56.666666666666643</v>
      </c>
      <c r="F54" s="14">
        <v>60</v>
      </c>
    </row>
    <row r="55" spans="2:6" x14ac:dyDescent="0.2">
      <c r="B55" s="12">
        <v>52</v>
      </c>
      <c r="C55" s="14">
        <v>60</v>
      </c>
      <c r="D55" s="14">
        <v>55</v>
      </c>
      <c r="E55" s="14">
        <v>54.999999999999979</v>
      </c>
      <c r="F55" s="14">
        <v>60</v>
      </c>
    </row>
    <row r="56" spans="2:6" x14ac:dyDescent="0.2">
      <c r="B56" s="12">
        <v>53</v>
      </c>
      <c r="C56" s="14">
        <v>60</v>
      </c>
      <c r="D56" s="14">
        <v>55</v>
      </c>
      <c r="E56" s="14">
        <v>53.333333333333314</v>
      </c>
      <c r="F56" s="14">
        <v>60</v>
      </c>
    </row>
    <row r="57" spans="2:6" x14ac:dyDescent="0.2">
      <c r="B57" s="12">
        <v>54</v>
      </c>
      <c r="C57" s="14">
        <v>60</v>
      </c>
      <c r="D57" s="14">
        <v>60</v>
      </c>
      <c r="E57" s="14">
        <v>54.999999999999979</v>
      </c>
      <c r="F57" s="14">
        <v>60</v>
      </c>
    </row>
    <row r="58" spans="2:6" x14ac:dyDescent="0.2">
      <c r="B58" s="12">
        <v>55</v>
      </c>
      <c r="C58" s="14">
        <v>55</v>
      </c>
      <c r="D58" s="14">
        <v>55</v>
      </c>
      <c r="E58" s="14">
        <v>49.999999999999986</v>
      </c>
      <c r="F58" s="14">
        <v>60</v>
      </c>
    </row>
    <row r="59" spans="2:6" x14ac:dyDescent="0.2">
      <c r="B59" s="12">
        <v>56</v>
      </c>
      <c r="C59" s="14">
        <v>55</v>
      </c>
      <c r="D59" s="14">
        <v>50</v>
      </c>
      <c r="E59" s="14">
        <v>51.66666666666665</v>
      </c>
      <c r="F59" s="14">
        <v>60</v>
      </c>
    </row>
    <row r="60" spans="2:6" x14ac:dyDescent="0.2">
      <c r="B60" s="12">
        <v>57</v>
      </c>
      <c r="C60" s="14">
        <v>60</v>
      </c>
      <c r="D60" s="14">
        <v>60</v>
      </c>
      <c r="E60" s="14">
        <v>54.999999999999979</v>
      </c>
      <c r="F60" s="14">
        <v>60</v>
      </c>
    </row>
    <row r="61" spans="2:6" x14ac:dyDescent="0.2">
      <c r="B61" s="12">
        <v>58</v>
      </c>
      <c r="C61" s="14">
        <v>60</v>
      </c>
      <c r="D61" s="14">
        <v>60</v>
      </c>
      <c r="E61" s="14">
        <v>59.999999999999972</v>
      </c>
      <c r="F61" s="14">
        <v>60</v>
      </c>
    </row>
    <row r="62" spans="2:6" x14ac:dyDescent="0.2">
      <c r="B62" s="12">
        <v>59</v>
      </c>
      <c r="C62" s="14">
        <v>60</v>
      </c>
      <c r="D62" s="14">
        <v>60</v>
      </c>
      <c r="E62" s="14">
        <v>58.333333333333307</v>
      </c>
      <c r="F62" s="14">
        <v>60</v>
      </c>
    </row>
    <row r="63" spans="2:6" x14ac:dyDescent="0.2">
      <c r="B63" s="12">
        <v>60</v>
      </c>
      <c r="C63" s="14">
        <v>60</v>
      </c>
      <c r="D63" s="14">
        <v>60</v>
      </c>
      <c r="E63" s="14">
        <v>51.66666666666665</v>
      </c>
      <c r="F63" s="14">
        <v>60</v>
      </c>
    </row>
    <row r="64" spans="2:6" x14ac:dyDescent="0.2">
      <c r="B64" s="12">
        <v>61</v>
      </c>
      <c r="C64" s="14">
        <v>60</v>
      </c>
      <c r="D64" s="14">
        <v>60</v>
      </c>
      <c r="E64" s="14">
        <v>59.999999999999972</v>
      </c>
      <c r="F64" s="14">
        <v>60</v>
      </c>
    </row>
    <row r="65" spans="2:6" x14ac:dyDescent="0.2">
      <c r="B65" s="12">
        <v>62</v>
      </c>
      <c r="C65" s="14">
        <v>60</v>
      </c>
      <c r="D65" s="14">
        <v>60</v>
      </c>
      <c r="E65" s="14">
        <v>56.666666666666643</v>
      </c>
      <c r="F65" s="14">
        <v>60</v>
      </c>
    </row>
    <row r="66" spans="2:6" x14ac:dyDescent="0.2">
      <c r="B66" s="12">
        <v>63</v>
      </c>
      <c r="C66" s="14">
        <v>60</v>
      </c>
      <c r="D66" s="14">
        <v>60</v>
      </c>
      <c r="E66" s="14">
        <v>53.333333333333314</v>
      </c>
      <c r="F66" s="14">
        <v>60</v>
      </c>
    </row>
    <row r="67" spans="2:6" x14ac:dyDescent="0.2">
      <c r="B67" s="12">
        <v>64</v>
      </c>
      <c r="C67" s="14">
        <v>60</v>
      </c>
      <c r="D67" s="14">
        <v>60</v>
      </c>
      <c r="E67" s="14">
        <v>54.999999999999979</v>
      </c>
      <c r="F67" s="14">
        <v>60</v>
      </c>
    </row>
    <row r="68" spans="2:6" x14ac:dyDescent="0.2">
      <c r="B68" s="12">
        <v>65</v>
      </c>
      <c r="C68" s="14">
        <v>60</v>
      </c>
      <c r="D68" s="14">
        <v>60</v>
      </c>
      <c r="E68" s="14">
        <v>54.999999999999979</v>
      </c>
      <c r="F68" s="14">
        <v>60</v>
      </c>
    </row>
    <row r="69" spans="2:6" x14ac:dyDescent="0.2">
      <c r="B69" s="12">
        <v>66</v>
      </c>
      <c r="C69" s="14">
        <v>60</v>
      </c>
      <c r="D69" s="14">
        <v>55</v>
      </c>
      <c r="E69" s="14">
        <v>54.999999999999979</v>
      </c>
      <c r="F69" s="14">
        <v>60</v>
      </c>
    </row>
    <row r="70" spans="2:6" x14ac:dyDescent="0.2">
      <c r="B70" s="12">
        <v>67</v>
      </c>
      <c r="C70" s="14">
        <v>60</v>
      </c>
      <c r="D70" s="14">
        <v>60</v>
      </c>
      <c r="E70" s="14">
        <v>56.666666666666643</v>
      </c>
      <c r="F70" s="14">
        <v>60</v>
      </c>
    </row>
    <row r="71" spans="2:6" x14ac:dyDescent="0.2">
      <c r="B71" s="12">
        <v>68</v>
      </c>
      <c r="C71" s="14">
        <v>60</v>
      </c>
      <c r="D71" s="14">
        <v>60</v>
      </c>
      <c r="E71" s="14">
        <v>53.333333333333314</v>
      </c>
      <c r="F71" s="14">
        <v>60</v>
      </c>
    </row>
    <row r="72" spans="2:6" x14ac:dyDescent="0.2">
      <c r="B72" s="12">
        <v>69</v>
      </c>
      <c r="C72" s="14">
        <v>60</v>
      </c>
      <c r="D72" s="14">
        <v>60</v>
      </c>
      <c r="E72" s="14">
        <v>54.999999999999979</v>
      </c>
      <c r="F72" s="14">
        <v>60</v>
      </c>
    </row>
    <row r="73" spans="2:6" x14ac:dyDescent="0.2">
      <c r="B73" s="12">
        <v>70</v>
      </c>
      <c r="C73" s="14">
        <v>60</v>
      </c>
      <c r="D73" s="14">
        <v>60</v>
      </c>
      <c r="E73" s="14">
        <v>58.333333333333307</v>
      </c>
      <c r="F73" s="14">
        <v>60</v>
      </c>
    </row>
    <row r="74" spans="2:6" x14ac:dyDescent="0.2">
      <c r="B74" s="12">
        <v>71</v>
      </c>
      <c r="C74" s="14">
        <v>60</v>
      </c>
      <c r="D74" s="14">
        <v>60</v>
      </c>
      <c r="E74" s="14">
        <v>59.999999999999972</v>
      </c>
      <c r="F74" s="14">
        <v>60</v>
      </c>
    </row>
    <row r="75" spans="2:6" x14ac:dyDescent="0.2">
      <c r="B75" s="12">
        <v>72</v>
      </c>
      <c r="C75" s="14">
        <v>60</v>
      </c>
      <c r="D75" s="14">
        <v>60</v>
      </c>
      <c r="E75" s="14">
        <v>58.333333333333307</v>
      </c>
      <c r="F75" s="14">
        <v>60</v>
      </c>
    </row>
    <row r="76" spans="2:6" x14ac:dyDescent="0.2">
      <c r="B76" s="12">
        <v>73</v>
      </c>
      <c r="C76" s="14">
        <v>60</v>
      </c>
      <c r="D76" s="14">
        <v>55</v>
      </c>
      <c r="E76" s="14">
        <v>54.999999999999979</v>
      </c>
      <c r="F76" s="14">
        <v>60</v>
      </c>
    </row>
    <row r="77" spans="2:6" x14ac:dyDescent="0.2">
      <c r="B77" s="12">
        <v>74</v>
      </c>
      <c r="C77" s="14">
        <v>60</v>
      </c>
      <c r="D77" s="14">
        <v>50</v>
      </c>
      <c r="E77" s="14">
        <v>54.999999999999979</v>
      </c>
      <c r="F77" s="14">
        <v>60</v>
      </c>
    </row>
    <row r="78" spans="2:6" x14ac:dyDescent="0.2">
      <c r="B78" s="12">
        <v>75</v>
      </c>
      <c r="C78" s="14">
        <v>60</v>
      </c>
      <c r="D78" s="14">
        <v>60</v>
      </c>
      <c r="E78" s="14">
        <v>54.999999999999979</v>
      </c>
      <c r="F78" s="14">
        <v>60</v>
      </c>
    </row>
    <row r="79" spans="2:6" x14ac:dyDescent="0.2">
      <c r="B79" s="12">
        <v>76</v>
      </c>
      <c r="C79" s="14">
        <v>60</v>
      </c>
      <c r="D79" s="14">
        <v>60</v>
      </c>
      <c r="E79" s="14">
        <v>58.333333333333307</v>
      </c>
      <c r="F79" s="14">
        <v>60</v>
      </c>
    </row>
    <row r="80" spans="2:6" x14ac:dyDescent="0.2">
      <c r="B80" s="12">
        <v>77</v>
      </c>
      <c r="C80" s="14">
        <v>60</v>
      </c>
      <c r="D80" s="14">
        <v>55</v>
      </c>
      <c r="E80" s="14">
        <v>53.333333333333314</v>
      </c>
      <c r="F80" s="14">
        <v>60</v>
      </c>
    </row>
    <row r="81" spans="2:6" x14ac:dyDescent="0.2">
      <c r="B81" s="12">
        <v>78</v>
      </c>
      <c r="C81" s="14">
        <v>60</v>
      </c>
      <c r="D81" s="14">
        <v>60</v>
      </c>
      <c r="E81" s="14">
        <v>58.333333333333307</v>
      </c>
      <c r="F81" s="14">
        <v>60</v>
      </c>
    </row>
    <row r="82" spans="2:6" x14ac:dyDescent="0.2">
      <c r="B82" s="12">
        <v>79</v>
      </c>
      <c r="C82" s="14">
        <v>50</v>
      </c>
      <c r="D82" s="14">
        <v>55</v>
      </c>
      <c r="E82" s="14">
        <v>54.999999999999979</v>
      </c>
      <c r="F82" s="14">
        <v>60</v>
      </c>
    </row>
    <row r="83" spans="2:6" x14ac:dyDescent="0.2">
      <c r="B83" s="12">
        <v>80</v>
      </c>
      <c r="C83" s="14">
        <v>60</v>
      </c>
      <c r="D83" s="14">
        <v>60</v>
      </c>
      <c r="E83" s="14">
        <v>58.333333333333307</v>
      </c>
      <c r="F83" s="14">
        <v>60</v>
      </c>
    </row>
    <row r="84" spans="2:6" x14ac:dyDescent="0.2">
      <c r="B84" s="12">
        <v>81</v>
      </c>
      <c r="C84" s="14">
        <v>60</v>
      </c>
      <c r="D84" s="14">
        <v>60</v>
      </c>
      <c r="E84" s="14">
        <v>56.666666666666643</v>
      </c>
      <c r="F84" s="14">
        <v>60</v>
      </c>
    </row>
    <row r="85" spans="2:6" x14ac:dyDescent="0.2">
      <c r="B85" s="12">
        <v>82</v>
      </c>
      <c r="C85" s="14">
        <v>60</v>
      </c>
      <c r="D85" s="14">
        <v>60</v>
      </c>
      <c r="E85" s="14">
        <v>51.66666666666665</v>
      </c>
      <c r="F85" s="14">
        <v>60</v>
      </c>
    </row>
    <row r="86" spans="2:6" x14ac:dyDescent="0.2">
      <c r="B86" s="12">
        <v>83</v>
      </c>
      <c r="C86" s="14">
        <v>50</v>
      </c>
      <c r="D86" s="14">
        <v>55</v>
      </c>
      <c r="E86" s="14">
        <v>48.333333333333321</v>
      </c>
      <c r="F86" s="14">
        <v>60</v>
      </c>
    </row>
    <row r="87" spans="2:6" x14ac:dyDescent="0.2">
      <c r="B87" s="12">
        <v>84</v>
      </c>
      <c r="C87" s="14">
        <v>60</v>
      </c>
      <c r="D87" s="14">
        <v>60</v>
      </c>
      <c r="E87" s="14">
        <v>59.999999999999972</v>
      </c>
      <c r="F87" s="14">
        <v>60</v>
      </c>
    </row>
    <row r="88" spans="2:6" x14ac:dyDescent="0.2">
      <c r="B88" s="12">
        <v>85</v>
      </c>
      <c r="C88" s="14">
        <v>60</v>
      </c>
      <c r="D88" s="14">
        <v>60</v>
      </c>
      <c r="E88" s="14">
        <v>56.666666666666643</v>
      </c>
      <c r="F88" s="14">
        <v>60</v>
      </c>
    </row>
    <row r="89" spans="2:6" x14ac:dyDescent="0.2">
      <c r="B89" s="12">
        <v>86</v>
      </c>
      <c r="C89" s="14">
        <v>60</v>
      </c>
      <c r="D89" s="14">
        <v>60</v>
      </c>
      <c r="E89" s="14">
        <v>58.333333333333307</v>
      </c>
      <c r="F89" s="14">
        <v>60</v>
      </c>
    </row>
    <row r="90" spans="2:6" x14ac:dyDescent="0.2">
      <c r="B90" s="12">
        <v>87</v>
      </c>
      <c r="C90" s="14">
        <v>60</v>
      </c>
      <c r="D90" s="14">
        <v>60</v>
      </c>
      <c r="E90" s="14">
        <v>59.999999999999972</v>
      </c>
      <c r="F90" s="14">
        <v>60</v>
      </c>
    </row>
    <row r="91" spans="2:6" x14ac:dyDescent="0.2">
      <c r="B91" s="12">
        <v>88</v>
      </c>
      <c r="C91" s="14">
        <v>50</v>
      </c>
      <c r="D91" s="14">
        <v>55</v>
      </c>
      <c r="E91" s="14">
        <v>53.333333333333314</v>
      </c>
      <c r="F91" s="14">
        <v>60</v>
      </c>
    </row>
    <row r="92" spans="2:6" x14ac:dyDescent="0.2">
      <c r="B92" s="12">
        <v>89</v>
      </c>
      <c r="C92" s="14">
        <v>60</v>
      </c>
      <c r="D92" s="14">
        <v>60</v>
      </c>
      <c r="E92" s="14">
        <v>54.999999999999979</v>
      </c>
      <c r="F92" s="14">
        <v>60</v>
      </c>
    </row>
    <row r="93" spans="2:6" x14ac:dyDescent="0.2">
      <c r="B93" s="12">
        <v>90</v>
      </c>
      <c r="C93" s="14">
        <v>55</v>
      </c>
      <c r="D93" s="14">
        <v>50</v>
      </c>
      <c r="E93" s="14">
        <v>49.999999999999986</v>
      </c>
      <c r="F93" s="14">
        <v>60</v>
      </c>
    </row>
    <row r="94" spans="2:6" x14ac:dyDescent="0.2">
      <c r="B94" s="12">
        <v>91</v>
      </c>
      <c r="C94" s="14">
        <v>60</v>
      </c>
      <c r="D94" s="14">
        <v>60</v>
      </c>
      <c r="E94" s="14">
        <v>59.999999999999972</v>
      </c>
      <c r="F94" s="14">
        <v>60</v>
      </c>
    </row>
    <row r="95" spans="2:6" x14ac:dyDescent="0.2">
      <c r="B95" s="12">
        <v>92</v>
      </c>
      <c r="C95" s="14">
        <v>55</v>
      </c>
      <c r="D95" s="14">
        <v>55</v>
      </c>
      <c r="E95" s="14">
        <v>53.333333333333314</v>
      </c>
      <c r="F95" s="14">
        <v>60</v>
      </c>
    </row>
    <row r="96" spans="2:6" x14ac:dyDescent="0.2">
      <c r="B96" s="12">
        <v>93</v>
      </c>
      <c r="C96" s="14">
        <v>60</v>
      </c>
      <c r="D96" s="14">
        <v>60</v>
      </c>
      <c r="E96" s="14">
        <v>56.666666666666643</v>
      </c>
      <c r="F96" s="14">
        <v>60</v>
      </c>
    </row>
    <row r="97" spans="2:6" x14ac:dyDescent="0.2">
      <c r="B97" s="12">
        <v>94</v>
      </c>
      <c r="C97" s="14">
        <v>60</v>
      </c>
      <c r="D97" s="14">
        <v>60</v>
      </c>
      <c r="E97" s="14">
        <v>53.333333333333314</v>
      </c>
      <c r="F97" s="14">
        <v>60</v>
      </c>
    </row>
    <row r="98" spans="2:6" x14ac:dyDescent="0.2">
      <c r="B98" s="12">
        <v>95</v>
      </c>
      <c r="C98" s="14">
        <v>60</v>
      </c>
      <c r="D98" s="14">
        <v>60</v>
      </c>
      <c r="E98" s="14">
        <v>58.333333333333307</v>
      </c>
      <c r="F98" s="14">
        <v>60</v>
      </c>
    </row>
    <row r="99" spans="2:6" x14ac:dyDescent="0.2">
      <c r="B99" s="12">
        <v>96</v>
      </c>
      <c r="C99" s="14">
        <v>60</v>
      </c>
      <c r="D99" s="14">
        <v>60</v>
      </c>
      <c r="E99" s="14">
        <v>59.999999999999972</v>
      </c>
      <c r="F99" s="14">
        <v>60</v>
      </c>
    </row>
    <row r="100" spans="2:6" x14ac:dyDescent="0.2">
      <c r="B100" s="12">
        <v>97</v>
      </c>
      <c r="C100" s="14">
        <v>60</v>
      </c>
      <c r="D100" s="14">
        <v>60</v>
      </c>
      <c r="E100" s="14">
        <v>56.666666666666643</v>
      </c>
      <c r="F100" s="14">
        <v>60</v>
      </c>
    </row>
    <row r="101" spans="2:6" x14ac:dyDescent="0.2">
      <c r="B101" s="12">
        <v>98</v>
      </c>
      <c r="C101" s="14">
        <v>60</v>
      </c>
      <c r="D101" s="14">
        <v>60</v>
      </c>
      <c r="E101" s="14">
        <v>56.666666666666643</v>
      </c>
      <c r="F101" s="14">
        <v>60</v>
      </c>
    </row>
    <row r="102" spans="2:6" x14ac:dyDescent="0.2">
      <c r="B102" s="12">
        <v>99</v>
      </c>
      <c r="C102" s="14">
        <v>55</v>
      </c>
      <c r="D102" s="14">
        <v>55</v>
      </c>
      <c r="E102" s="14">
        <v>46.666666666666657</v>
      </c>
      <c r="F102" s="14">
        <v>60</v>
      </c>
    </row>
    <row r="103" spans="2:6" x14ac:dyDescent="0.2">
      <c r="B103" s="13">
        <v>100</v>
      </c>
      <c r="C103" s="15">
        <v>60</v>
      </c>
      <c r="D103" s="15">
        <v>55</v>
      </c>
      <c r="E103" s="15">
        <v>54.999999999999979</v>
      </c>
      <c r="F103" s="15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I96"/>
  <sheetViews>
    <sheetView topLeftCell="BL1" workbookViewId="0">
      <selection activeCell="BY31" sqref="BY31"/>
    </sheetView>
  </sheetViews>
  <sheetFormatPr defaultRowHeight="12.75" x14ac:dyDescent="0.2"/>
  <sheetData>
    <row r="1" spans="1:87" x14ac:dyDescent="0.2">
      <c r="B1" t="s">
        <v>15</v>
      </c>
      <c r="C1" t="s">
        <v>24</v>
      </c>
      <c r="D1" t="s">
        <v>25</v>
      </c>
      <c r="E1" t="s">
        <v>26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55</v>
      </c>
      <c r="O1" t="s">
        <v>54</v>
      </c>
      <c r="P1" t="s">
        <v>53</v>
      </c>
      <c r="Q1" t="s">
        <v>52</v>
      </c>
      <c r="R1" t="s">
        <v>51</v>
      </c>
      <c r="S1" t="s">
        <v>50</v>
      </c>
      <c r="T1" t="s">
        <v>49</v>
      </c>
      <c r="U1" t="s">
        <v>48</v>
      </c>
      <c r="V1" t="s">
        <v>47</v>
      </c>
      <c r="W1" t="s">
        <v>46</v>
      </c>
      <c r="X1" t="s">
        <v>45</v>
      </c>
      <c r="Y1" t="s">
        <v>44</v>
      </c>
      <c r="Z1" t="s">
        <v>57</v>
      </c>
      <c r="AA1" t="s">
        <v>57</v>
      </c>
      <c r="AB1" t="s">
        <v>57</v>
      </c>
      <c r="AC1" t="s">
        <v>58</v>
      </c>
      <c r="AD1" t="s">
        <v>80</v>
      </c>
      <c r="AE1" t="s">
        <v>81</v>
      </c>
      <c r="AF1" t="s">
        <v>82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  <c r="AL1" t="s">
        <v>77</v>
      </c>
      <c r="AM1" t="s">
        <v>78</v>
      </c>
      <c r="AN1" t="s">
        <v>79</v>
      </c>
      <c r="AO1" t="s">
        <v>57</v>
      </c>
      <c r="AP1" t="s">
        <v>57</v>
      </c>
      <c r="AQ1" t="s">
        <v>83</v>
      </c>
      <c r="AR1" t="s">
        <v>121</v>
      </c>
      <c r="AS1" t="s">
        <v>130</v>
      </c>
      <c r="AT1" t="s">
        <v>131</v>
      </c>
      <c r="AU1" t="s">
        <v>132</v>
      </c>
      <c r="AV1" t="s">
        <v>133</v>
      </c>
      <c r="AW1" t="s">
        <v>134</v>
      </c>
      <c r="AX1" t="s">
        <v>135</v>
      </c>
      <c r="AY1" t="s">
        <v>136</v>
      </c>
      <c r="AZ1" t="s">
        <v>137</v>
      </c>
      <c r="BA1" t="s">
        <v>138</v>
      </c>
      <c r="BB1" t="s">
        <v>139</v>
      </c>
      <c r="BC1" t="s">
        <v>122</v>
      </c>
      <c r="BD1" t="s">
        <v>140</v>
      </c>
      <c r="BE1" t="s">
        <v>141</v>
      </c>
      <c r="BF1" t="s">
        <v>142</v>
      </c>
      <c r="BG1" t="s">
        <v>143</v>
      </c>
      <c r="BH1" t="s">
        <v>144</v>
      </c>
      <c r="BI1" t="s">
        <v>145</v>
      </c>
      <c r="BJ1" t="s">
        <v>146</v>
      </c>
      <c r="BK1" t="s">
        <v>147</v>
      </c>
      <c r="BL1" t="s">
        <v>148</v>
      </c>
      <c r="BM1" t="s">
        <v>149</v>
      </c>
      <c r="BN1" t="s">
        <v>123</v>
      </c>
      <c r="BO1" t="s">
        <v>180</v>
      </c>
      <c r="BP1" t="s">
        <v>151</v>
      </c>
      <c r="BQ1" t="s">
        <v>152</v>
      </c>
      <c r="BR1" t="s">
        <v>153</v>
      </c>
      <c r="BS1" t="s">
        <v>154</v>
      </c>
      <c r="BT1" t="s">
        <v>155</v>
      </c>
      <c r="BU1" t="s">
        <v>156</v>
      </c>
      <c r="BV1" t="s">
        <v>124</v>
      </c>
      <c r="BW1" t="s">
        <v>125</v>
      </c>
      <c r="BX1" t="s">
        <v>126</v>
      </c>
      <c r="BY1" t="s">
        <v>127</v>
      </c>
      <c r="BZ1" t="s">
        <v>128</v>
      </c>
      <c r="CA1" t="s">
        <v>129</v>
      </c>
      <c r="CB1" t="s">
        <v>157</v>
      </c>
      <c r="CC1" t="s">
        <v>157</v>
      </c>
      <c r="CD1" t="s">
        <v>169</v>
      </c>
      <c r="CE1" t="s">
        <v>170</v>
      </c>
      <c r="CF1" t="s">
        <v>157</v>
      </c>
      <c r="CG1" t="s">
        <v>57</v>
      </c>
      <c r="CH1" t="s">
        <v>83</v>
      </c>
      <c r="CI1" t="s">
        <v>170</v>
      </c>
    </row>
    <row r="2" spans="1:87" x14ac:dyDescent="0.2">
      <c r="A2" t="s">
        <v>30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0</v>
      </c>
      <c r="CG2">
        <v>2</v>
      </c>
      <c r="CH2">
        <v>2</v>
      </c>
      <c r="CI2">
        <v>2</v>
      </c>
    </row>
    <row r="3" spans="1:87" x14ac:dyDescent="0.2">
      <c r="A3" t="s">
        <v>31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</row>
    <row r="4" spans="1:87" x14ac:dyDescent="0.2">
      <c r="B4">
        <f>ROUNDUP( MAX( Q_1 ), $B$2 ) + $B$3</f>
        <v>82.550000000000011</v>
      </c>
      <c r="C4">
        <f>ROUNDUP( MAX( Q_10 ), $C$2 ) + $C$3</f>
        <v>82.15</v>
      </c>
      <c r="D4">
        <f>ROUNDUP( MAX( Q_11 ), $D$2 ) + $D$3</f>
        <v>82.49</v>
      </c>
      <c r="E4">
        <f>ROUNDUP( MAX( Q_12 ), $E$2 ) + $E$3</f>
        <v>82.92</v>
      </c>
      <c r="F4">
        <f>ROUNDUP( MAX( Q_2 ), $F$2 ) + $F$3</f>
        <v>83.17</v>
      </c>
      <c r="G4">
        <f>ROUNDUP( MAX( Q_3 ), $G$2 ) + $G$3</f>
        <v>81.87</v>
      </c>
      <c r="H4">
        <f>ROUNDUP( MAX( Q_4 ), $H$2 ) + $H$3</f>
        <v>82.79</v>
      </c>
      <c r="I4">
        <f>ROUNDUP( MAX( Q_5 ), $I$2 ) + $I$3</f>
        <v>83.97</v>
      </c>
      <c r="J4">
        <f>ROUNDUP( MAX( Q_6 ), $J$2 ) + $J$3</f>
        <v>83.01</v>
      </c>
      <c r="K4">
        <f>ROUNDUP( MAX( Q_7 ), $K$2 ) + $K$3</f>
        <v>82.31</v>
      </c>
      <c r="L4">
        <f>ROUNDUP( MAX( Q_8 ), $L$2 ) + $L$3</f>
        <v>83.35</v>
      </c>
      <c r="M4">
        <f>ROUNDUP( MAX( Q_9 ), $M$2 ) + $M$3</f>
        <v>85.66</v>
      </c>
      <c r="N4">
        <f>ROUNDUP( MAX( AWF_Q_1 ), $N$2 ) + $N$3</f>
        <v>0</v>
      </c>
      <c r="O4">
        <f>ROUNDUP( MAX( AWF_Q_2 ), $O$2 ) + $O$3</f>
        <v>0</v>
      </c>
      <c r="P4">
        <f>ROUNDUP( MAX( AWF_Q_3 ), $P$2 ) + $P$3</f>
        <v>0</v>
      </c>
      <c r="Q4">
        <f>ROUNDUP( MAX( AWF_Q_4 ), $Q$2 ) + $Q$3</f>
        <v>0</v>
      </c>
      <c r="R4">
        <f>ROUNDUP( MAX( AWF_Q_5 ), $R$2 ) + $R$3</f>
        <v>0</v>
      </c>
      <c r="S4">
        <f>ROUNDUP( MAX( AWF_Q_6 ), $S$2 ) + $S$3</f>
        <v>0</v>
      </c>
      <c r="T4">
        <f>ROUNDUP( MAX( AWF_Q_7 ), $T$2 ) + $T$3</f>
        <v>0</v>
      </c>
      <c r="U4">
        <f>ROUNDUP( MAX( AWF_Q_8 ), $U$2 ) + $U$3</f>
        <v>0</v>
      </c>
      <c r="V4">
        <f>ROUNDUP( MAX( AWF_Q_9 ), $V$2 ) + $V$3</f>
        <v>0</v>
      </c>
      <c r="W4">
        <f>ROUNDUP( MAX( AWF_Q_10 ), $W$2 ) + $W$3</f>
        <v>0</v>
      </c>
      <c r="X4">
        <f>ROUNDUP( MAX( AWF_Q_11 ), $X$2 ) + $X$3</f>
        <v>0</v>
      </c>
      <c r="Y4">
        <f>ROUNDUP( MAX( AWF_Q_12 ), $Y$2 ) + $Y$3</f>
        <v>0</v>
      </c>
      <c r="Z4">
        <f>ROUNDUP( MAX( Total_Quartery_Award_Fee ), $Z$2 ) + $Z$3</f>
        <v>60</v>
      </c>
      <c r="AA4">
        <f>ROUNDUP( MAX( Total_Quartery_Award_Fee ), $AA$2 ) + $AA$3</f>
        <v>60</v>
      </c>
      <c r="AB4">
        <f>ROUNDUP( MAX( Total_Quartery_Award_Fee ), $AB$2 ) + $AB$3</f>
        <v>60</v>
      </c>
      <c r="AC4">
        <f>ROUNDUP( MAX( RQ_1 ), $AC$2 ) + $AC$3</f>
        <v>82.550000000000011</v>
      </c>
      <c r="AD4">
        <f>ROUNDUP( MAX( RQ_10 ), $AD$2 ) + $AD$3</f>
        <v>80.31</v>
      </c>
      <c r="AE4">
        <f>ROUNDUP( MAX( RQ_11 ), $AE$2 ) + $AE$3</f>
        <v>80.05</v>
      </c>
      <c r="AF4">
        <f>ROUNDUP( MAX( RQ_12 ), $AF$2 ) + $AF$3</f>
        <v>81.84</v>
      </c>
      <c r="AG4">
        <f>ROUNDUP( MAX( RQ_2 ), $AG$2 ) + $AG$3</f>
        <v>81.84</v>
      </c>
      <c r="AH4">
        <f>ROUNDUP( MAX( RQ_3 ), $AH$2 ) + $AH$3</f>
        <v>81.960000000000008</v>
      </c>
      <c r="AI4">
        <f>ROUNDUP( MAX( RQ_4 ), $AI$2 ) + $AI$3</f>
        <v>81.300000000000011</v>
      </c>
      <c r="AJ4">
        <f>ROUNDUP( MAX( RQ_5 ), $AJ$2 ) + $AJ$3</f>
        <v>82.070000000000007</v>
      </c>
      <c r="AK4">
        <f>ROUNDUP( MAX( RQ_6 ), $AK$2 ) + $AK$3</f>
        <v>81.600000000000009</v>
      </c>
      <c r="AL4">
        <f>ROUNDUP( MAX( RQ_7 ), $AL$2 ) + $AL$3</f>
        <v>81.569999999999993</v>
      </c>
      <c r="AM4">
        <f>ROUNDUP( MAX( RQ_8 ), $AM$2 ) + $AM$3</f>
        <v>81.81</v>
      </c>
      <c r="AN4">
        <f>ROUNDUP( MAX( RQ_9 ), $AN$2 ) + $AN$3</f>
        <v>81.53</v>
      </c>
      <c r="AO4">
        <f>ROUNDUP( MAX( Total_Quartery_Award_Fee ), $AO$2 ) + $AO$3</f>
        <v>60</v>
      </c>
      <c r="AP4">
        <f>ROUNDUP( MAX( Total_Quartery_Award_Fee ), $AP$2 ) + $AP$3</f>
        <v>60</v>
      </c>
      <c r="AQ4">
        <f>ROUNDUP( MAX( Total_Roling_Qtrly_Awrd_Fee ), $AQ$2 ) + $AQ$3</f>
        <v>60</v>
      </c>
      <c r="AR4">
        <f>ROUNDUP( MAX( M_1 ), $AR$2 ) + $AR$3</f>
        <v>83.68</v>
      </c>
      <c r="AS4">
        <f>ROUNDUP( MAX( M_10 ), $AS$2 ) + $AS$3</f>
        <v>83.12</v>
      </c>
      <c r="AT4">
        <f>ROUNDUP( MAX( M_11 ), $AT$2 ) + $AT$3</f>
        <v>83.09</v>
      </c>
      <c r="AU4">
        <f>ROUNDUP( MAX( M_12 ), $AU$2 ) + $AU$3</f>
        <v>84.84</v>
      </c>
      <c r="AV4">
        <f>ROUNDUP( MAX( M_13 ), $AV$2 ) + $AV$3</f>
        <v>85.34</v>
      </c>
      <c r="AW4">
        <f>ROUNDUP( MAX( M_14 ), $AW$2 ) + $AW$3</f>
        <v>85.52</v>
      </c>
      <c r="AX4">
        <f>ROUNDUP( MAX( M_15 ), $AX$2 ) + $AX$3</f>
        <v>85.64</v>
      </c>
      <c r="AY4">
        <f>ROUNDUP( MAX( M_16 ), $AY$2 ) + $AY$3</f>
        <v>85.87</v>
      </c>
      <c r="AZ4">
        <f>ROUNDUP( MAX( M_17 ), $AZ$2 ) + $AZ$3</f>
        <v>84</v>
      </c>
      <c r="BA4">
        <f>ROUNDUP( MAX( M_18 ), $BA$2 ) + $BA$3</f>
        <v>87.21</v>
      </c>
      <c r="BB4">
        <f>ROUNDUP( MAX( M_19 ), $BB$2 ) + $BB$3</f>
        <v>86.25</v>
      </c>
      <c r="BC4">
        <f>ROUNDUP( MAX( M_2 ), $BC$2 ) + $BC$3</f>
        <v>83.69</v>
      </c>
      <c r="BD4">
        <f>ROUNDUP( MAX( M_20 ), $BD$2 ) + $BD$3</f>
        <v>83.16</v>
      </c>
      <c r="BE4">
        <f>ROUNDUP( MAX( M_21 ), $BE$2 ) + $BE$3</f>
        <v>83.79</v>
      </c>
      <c r="BF4">
        <f>ROUNDUP( MAX( M_22 ), $BF$2 ) + $BF$3</f>
        <v>88.02</v>
      </c>
      <c r="BG4">
        <f>ROUNDUP( MAX( M_23 ), $BG$2 ) + $BG$3</f>
        <v>85.37</v>
      </c>
      <c r="BH4">
        <f>ROUNDUP( MAX( M_24 ), $BH$2 ) + $BH$3</f>
        <v>84.85</v>
      </c>
      <c r="BI4">
        <f>ROUNDUP( MAX( M_25 ), $BI$2 ) + $BI$3</f>
        <v>85.17</v>
      </c>
      <c r="BJ4">
        <f>ROUNDUP( MAX( M_26 ), $BJ$2 ) + $BJ$3</f>
        <v>88.09</v>
      </c>
      <c r="BK4">
        <f>ROUNDUP( MAX( M_27 ), $BK$2 ) + $BK$3</f>
        <v>84.41</v>
      </c>
      <c r="BL4">
        <f>ROUNDUP( MAX( M_28 ), $BL$2 ) + $BL$3</f>
        <v>82.37</v>
      </c>
      <c r="BM4">
        <f>ROUNDUP( MAX( M_29 ), $BM$2 ) + $BM$3</f>
        <v>83.15</v>
      </c>
      <c r="BN4">
        <f>ROUNDUP( MAX( M_3 ), $BN$2 ) + $BN$3</f>
        <v>85.72</v>
      </c>
      <c r="BO4">
        <f>ROUNDUP( MAX( M_30 ), $BO$2 ) + $BO$3</f>
        <v>85.68</v>
      </c>
      <c r="BP4">
        <f>ROUNDUP( MAX( M_31 ), $BP$2 ) + $BP$3</f>
        <v>83.68</v>
      </c>
      <c r="BQ4">
        <f>ROUNDUP( MAX( M_32 ), $BQ$2 ) + $BQ$3</f>
        <v>85.66</v>
      </c>
      <c r="BR4">
        <f>ROUNDUP( MAX( M_33 ), $BR$2 ) + $BR$3</f>
        <v>84.05</v>
      </c>
      <c r="BS4">
        <f>ROUNDUP( MAX( M_34 ), $BS$2 ) + $BS$3</f>
        <v>83.2</v>
      </c>
      <c r="BT4">
        <f>ROUNDUP( MAX( M_35 ), $BT$2 ) + $BT$3</f>
        <v>84.36</v>
      </c>
      <c r="BU4">
        <f>ROUNDUP( MAX( M_36 ), $BU$2 ) + $BU$3</f>
        <v>83.84</v>
      </c>
      <c r="BV4">
        <f>ROUNDUP( MAX( M_4 ), $BV$2 ) + $BV$3</f>
        <v>84.64</v>
      </c>
      <c r="BW4">
        <f>ROUNDUP( MAX( M_5 ), $BW$2 ) + $BW$3</f>
        <v>83.51</v>
      </c>
      <c r="BX4">
        <f>ROUNDUP( MAX( M_6 ), $BX$2 ) + $BX$3</f>
        <v>84.61</v>
      </c>
      <c r="BY4">
        <f>ROUNDUP( MAX( M_7 ), $BY$2 ) + $BY$3</f>
        <v>87.06</v>
      </c>
      <c r="BZ4">
        <f>ROUNDUP( MAX( M_8 ), $BZ$2 ) + $BZ$3</f>
        <v>83.69</v>
      </c>
      <c r="CA4">
        <f>ROUNDUP( MAX( M_9 ), $CA$2 ) + $CA$3</f>
        <v>83.95</v>
      </c>
      <c r="CB4">
        <f>ROUNDUP( MAX( Total_Monthly_Award_Fee ), $CB$2 ) + $CB$3</f>
        <v>60</v>
      </c>
      <c r="CC4">
        <f>ROUNDUP( MAX( Total_Monthly_Award_Fee ), $CC$2 ) + $CC$3</f>
        <v>60</v>
      </c>
      <c r="CD4">
        <f>ROUNDUP( MAX( Three_Year_Average ), $CD$2 ) + $CD$3</f>
        <v>78.960000000000008</v>
      </c>
      <c r="CE4">
        <f>ROUNDUP( MAX( TYA_AF ), $CE$2 ) + $CE$3</f>
        <v>60</v>
      </c>
      <c r="CF4">
        <f>ROUNDUP( MAX( Total_Monthly_Award_Fee ), $CF$2 ) + $CF$3</f>
        <v>60</v>
      </c>
      <c r="CG4">
        <f>ROUNDUP( MAX( Total_Quartery_Award_Fee ), $CG$2 ) + $CG$3</f>
        <v>60</v>
      </c>
      <c r="CH4">
        <f>ROUNDUP( MAX( Total_Roling_Qtrly_Awrd_Fee ), $CH$2 ) + $CH$3</f>
        <v>60</v>
      </c>
      <c r="CI4">
        <f>ROUNDUP( MAX( TYA_AF ), $CI$2 ) + $CI$3</f>
        <v>60</v>
      </c>
    </row>
    <row r="5" spans="1:87" x14ac:dyDescent="0.2">
      <c r="B5">
        <f>ROUNDUP(( $B$4 - $B$7 ) / 10, $B$2 )</f>
        <v>1.1399999999999999</v>
      </c>
      <c r="C5">
        <f>ROUNDUP(( $C$4 - $C$7 ) / 10, $C$2 )</f>
        <v>1.06</v>
      </c>
      <c r="D5">
        <f>ROUNDUP(( $D$4 - $D$7 ) / 10, $D$2 )</f>
        <v>1.44</v>
      </c>
      <c r="E5">
        <f>ROUNDUP(( $E$4 - $E$7 ) / 10, $E$2 )</f>
        <v>1.17</v>
      </c>
      <c r="F5">
        <f>ROUNDUP(( $F$4 - $F$7 ) / 10, $F$2 )</f>
        <v>1.48</v>
      </c>
      <c r="G5">
        <f>ROUNDUP(( $G$4 - $G$7 ) / 10, $G$2 )</f>
        <v>1.05</v>
      </c>
      <c r="H5">
        <f>ROUNDUP(( $H$4 - $H$7 ) / 10, $H$2 )</f>
        <v>1.47</v>
      </c>
      <c r="I5">
        <f>ROUNDUP(( $I$4 - $I$7 ) / 10, $I$2 )</f>
        <v>1.44</v>
      </c>
      <c r="J5">
        <f>ROUNDUP(( $J$4 - $J$7 ) / 10, $J$2 )</f>
        <v>1.17</v>
      </c>
      <c r="K5">
        <f>ROUNDUP(( $K$4 - $K$7 ) / 10, $K$2 )</f>
        <v>1</v>
      </c>
      <c r="L5">
        <f>ROUNDUP(( $L$4 - $L$7 ) / 10, $L$2 )</f>
        <v>1.35</v>
      </c>
      <c r="M5">
        <f>ROUNDUP(( $M$4 - $M$7 ) / 10, $M$2 )</f>
        <v>1.57</v>
      </c>
      <c r="N5">
        <f>ROUNDUP(( $N$4 - $N$7 ) / 10, $N$2 )</f>
        <v>0</v>
      </c>
      <c r="O5">
        <f>ROUNDUP(( $O$4 - $O$7 ) / 10, $O$2 )</f>
        <v>0</v>
      </c>
      <c r="P5">
        <f>ROUNDUP(( $P$4 - $P$7 ) / 10, $P$2 )</f>
        <v>0</v>
      </c>
      <c r="Q5">
        <f>ROUNDUP(( $Q$4 - $Q$7 ) / 10, $Q$2 )</f>
        <v>0</v>
      </c>
      <c r="R5">
        <f>ROUNDUP(( $R$4 - $R$7 ) / 10, $R$2 )</f>
        <v>0</v>
      </c>
      <c r="S5">
        <f>ROUNDUP(( $S$4 - $S$7 ) / 10, $S$2 )</f>
        <v>0</v>
      </c>
      <c r="T5">
        <f>ROUNDUP(( $T$4 - $T$7 ) / 10, $T$2 )</f>
        <v>0</v>
      </c>
      <c r="U5">
        <f>ROUNDUP(( $U$4 - $U$7 ) / 10, $U$2 )</f>
        <v>0</v>
      </c>
      <c r="V5">
        <f>ROUNDUP(( $V$4 - $V$7 ) / 10, $V$2 )</f>
        <v>0</v>
      </c>
      <c r="W5">
        <f>ROUNDUP(( $W$4 - $W$7 ) / 10, $W$2 )</f>
        <v>0</v>
      </c>
      <c r="X5">
        <f>ROUNDUP(( $X$4 - $X$7 ) / 10, $X$2 )</f>
        <v>0</v>
      </c>
      <c r="Y5">
        <f>ROUNDUP(( $Y$4 - $Y$7 ) / 10, $Y$2 )</f>
        <v>0</v>
      </c>
      <c r="Z5">
        <f>ROUNDUP(( $Z$4 - $Z$7 ) / 10, $Z$2 )</f>
        <v>1</v>
      </c>
      <c r="AA5">
        <f>ROUNDUP(( $AA$4 - $AA$7 ) / 20, $AA$2 )</f>
        <v>0.5</v>
      </c>
      <c r="AB5">
        <f>ROUNDUP(( $AB$4 - $AB$7 ) / 10, $AB$2 )</f>
        <v>1</v>
      </c>
      <c r="AC5">
        <f>ROUNDUP(( $AC$4 - $AC$7 ) / 10, $AC$2 )</f>
        <v>1.1399999999999999</v>
      </c>
      <c r="AD5">
        <f>ROUNDUP(( $AD$4 - $AD$7 ) / 10, $AD$2 )</f>
        <v>0.78</v>
      </c>
      <c r="AE5">
        <f>ROUNDUP(( $AE$4 - $AE$7 ) / 10, $AE$2 )</f>
        <v>0.89</v>
      </c>
      <c r="AF5">
        <f>ROUNDUP(( $AF$4 - $AF$7 ) / 10, $AF$2 )</f>
        <v>1.0900000000000001</v>
      </c>
      <c r="AG5">
        <f>ROUNDUP(( $AG$4 - $AG$7 ) / 10, $AG$2 )</f>
        <v>1.02</v>
      </c>
      <c r="AH5">
        <f>ROUNDUP(( $AH$4 - $AH$7 ) / 10, $AH$2 )</f>
        <v>1.08</v>
      </c>
      <c r="AI5">
        <f>ROUNDUP(( $AI$4 - $AI$7 ) / 10, $AI$2 )</f>
        <v>1.04</v>
      </c>
      <c r="AJ5">
        <f>ROUNDUP(( $AJ$4 - $AJ$7 ) / 10, $AJ$2 )</f>
        <v>1.1499999999999999</v>
      </c>
      <c r="AK5">
        <f>ROUNDUP(( $AK$4 - $AK$7 ) / 10, $AK$2 )</f>
        <v>0.89</v>
      </c>
      <c r="AL5">
        <f>ROUNDUP(( $AL$4 - $AL$7 ) / 10, $AL$2 )</f>
        <v>0.95</v>
      </c>
      <c r="AM5">
        <f>ROUNDUP(( $AM$4 - $AM$7 ) / 10, $AM$2 )</f>
        <v>0.98</v>
      </c>
      <c r="AN5">
        <f>ROUNDUP(( $AN$4 - $AN$7 ) / 10, $AN$2 )</f>
        <v>0.83</v>
      </c>
      <c r="AO5">
        <f>ROUNDUP(( $AO$4 - $AO$7 ) / 10, $AO$2 )</f>
        <v>1</v>
      </c>
      <c r="AP5">
        <f>ROUNDUP(( $AP$4 - $AP$7 ) / 10, $AP$2 )</f>
        <v>1</v>
      </c>
      <c r="AQ5">
        <f>ROUNDUP(( $AQ$4 - $AQ$7 ) / 10, $AQ$2 )</f>
        <v>1</v>
      </c>
      <c r="AR5">
        <f>ROUNDUP(( $AR$4 - $AR$7 ) / 10, $AR$2 )</f>
        <v>1.44</v>
      </c>
      <c r="AS5">
        <f>ROUNDUP(( $AS$4 - $AS$7 ) / 10, $AS$2 )</f>
        <v>1.67</v>
      </c>
      <c r="AT5">
        <f>ROUNDUP(( $AT$4 - $AT$7 ) / 10, $AT$2 )</f>
        <v>1.79</v>
      </c>
      <c r="AU5">
        <f>ROUNDUP(( $AU$4 - $AU$7 ) / 10, $AU$2 )</f>
        <v>1.8800000000000001</v>
      </c>
      <c r="AV5">
        <f>ROUNDUP(( $AV$4 - $AV$7 ) / 10, $AV$2 )</f>
        <v>1.87</v>
      </c>
      <c r="AW5">
        <f>ROUNDUP(( $AW$4 - $AW$7 ) / 10, $AW$2 )</f>
        <v>1.86</v>
      </c>
      <c r="AX5">
        <f>ROUNDUP(( $AX$4 - $AX$7 ) / 10, $AX$2 )</f>
        <v>2.0999999999999996</v>
      </c>
      <c r="AY5">
        <f>ROUNDUP(( $AY$4 - $AY$7 ) / 10, $AY$2 )</f>
        <v>1.72</v>
      </c>
      <c r="AZ5">
        <f>ROUNDUP(( $AZ$4 - $AZ$7 ) / 10, $AZ$2 )</f>
        <v>1.28</v>
      </c>
      <c r="BA5">
        <f>ROUNDUP(( $BA$4 - $BA$7 ) / 10, $BA$2 )</f>
        <v>2.0999999999999996</v>
      </c>
      <c r="BB5">
        <f>ROUNDUP(( $BB$4 - $BB$7 ) / 10, $BB$2 )</f>
        <v>1.9</v>
      </c>
      <c r="BC5">
        <f>ROUNDUP(( $BC$4 - $BC$7 ) / 10, $BC$2 )</f>
        <v>1.5</v>
      </c>
      <c r="BD5">
        <f>ROUNDUP(( $BD$4 - $BD$7 ) / 10, $BD$2 )</f>
        <v>1.47</v>
      </c>
      <c r="BE5">
        <f>ROUNDUP(( $BE$4 - $BE$7 ) / 10, $BE$2 )</f>
        <v>1.47</v>
      </c>
      <c r="BF5">
        <f>ROUNDUP(( $BF$4 - $BF$7 ) / 10, $BF$2 )</f>
        <v>2.13</v>
      </c>
      <c r="BG5">
        <f>ROUNDUP(( $BG$4 - $BG$7 ) / 10, $BG$2 )</f>
        <v>1.55</v>
      </c>
      <c r="BH5">
        <f>ROUNDUP(( $BH$4 - $BH$7 ) / 10, $BH$2 )</f>
        <v>1.61</v>
      </c>
      <c r="BI5">
        <f>ROUNDUP(( $BI$4 - $BI$7 ) / 10, $BI$2 )</f>
        <v>1.6300000000000001</v>
      </c>
      <c r="BJ5">
        <f>ROUNDUP(( $BJ$4 - $BJ$7 ) / 10, $BJ$2 )</f>
        <v>1.96</v>
      </c>
      <c r="BK5">
        <f>ROUNDUP(( $BK$4 - $BK$7 ) / 10, $BK$2 )</f>
        <v>1.57</v>
      </c>
      <c r="BL5">
        <f>ROUNDUP(( $BL$4 - $BL$7 ) / 10, $BL$2 )</f>
        <v>1.26</v>
      </c>
      <c r="BM5">
        <f>ROUNDUP(( $BM$4 - $BM$7 ) / 10, $BM$2 )</f>
        <v>1.24</v>
      </c>
      <c r="BN5">
        <f>ROUNDUP(( $BN$4 - $BN$7 ) / 10, $BN$2 )</f>
        <v>1.7</v>
      </c>
      <c r="BO5">
        <f>ROUNDUP(( $BO$4 - $BO$7 ) / 10, $BO$2 )</f>
        <v>1.74</v>
      </c>
      <c r="BP5">
        <f>ROUNDUP(( $BP$4 - $BP$7 ) / 10, $BP$2 )</f>
        <v>1.52</v>
      </c>
      <c r="BQ5">
        <f>ROUNDUP(( $BQ$4 - $BQ$7 ) / 10, $BQ$2 )</f>
        <v>2.0099999999999998</v>
      </c>
      <c r="BR5">
        <f>ROUNDUP(( $BR$4 - $BR$7 ) / 10, $BR$2 )</f>
        <v>1.82</v>
      </c>
      <c r="BS5">
        <f>ROUNDUP(( $BS$4 - $BS$7 ) / 10, $BS$2 )</f>
        <v>1.62</v>
      </c>
      <c r="BT5">
        <f>ROUNDUP(( $BT$4 - $BT$7 ) / 10, $BT$2 )</f>
        <v>1.86</v>
      </c>
      <c r="BU5">
        <f>ROUNDUP(( $BU$4 - $BU$7 ) / 10, $BU$2 )</f>
        <v>1.55</v>
      </c>
      <c r="BV5">
        <f>ROUNDUP(( $BV$4 - $BV$7 ) / 10, $BV$2 )</f>
        <v>1.8</v>
      </c>
      <c r="BW5">
        <f>ROUNDUP(( $BW$4 - $BW$7 ) / 10, $BW$2 )</f>
        <v>1.66</v>
      </c>
      <c r="BX5">
        <f>ROUNDUP(( $BX$4 - $BX$7 ) / 10, $BX$2 )</f>
        <v>1.39</v>
      </c>
      <c r="BY5">
        <f>ROUNDUP(( $BY$4 - $BY$7 ) / 10, $BY$2 )</f>
        <v>1.77</v>
      </c>
      <c r="BZ5">
        <f>ROUNDUP(( $BZ$4 - $BZ$7 ) / 10, $BZ$2 )</f>
        <v>1.4</v>
      </c>
      <c r="CA5">
        <f>ROUNDUP(( $CA$4 - $CA$7 ) / 10, $CA$2 )</f>
        <v>1.74</v>
      </c>
      <c r="CB5">
        <f>ROUNDUP(( $CB$4 - $CB$7 ) / 10, $CB$2 )</f>
        <v>1.34</v>
      </c>
      <c r="CC5">
        <f>ROUNDUP(( $CC$4 - $CC$7 ) / 10, $CC$2 )</f>
        <v>1.34</v>
      </c>
      <c r="CD5">
        <f>ROUNDUP(( $CD$4 - $CD$7 ) / 10, $CD$2 )</f>
        <v>0.4</v>
      </c>
      <c r="CE5">
        <f>ROUNDUP(( $CE$4 - $CE$7 ) / 10, $CE$2 )</f>
        <v>0</v>
      </c>
      <c r="CF5">
        <f>ROUNDUP(( $CF$4 - $CF$7 ) / 10, $CF$2 )</f>
        <v>2</v>
      </c>
      <c r="CG5">
        <f>ROUNDUP(( $CG$4 - $CG$7 ) / 10, $CG$2 )</f>
        <v>1</v>
      </c>
      <c r="CH5">
        <f>ROUNDUP(( $CH$4 - $CH$7 ) / 10, $CH$2 )</f>
        <v>1</v>
      </c>
      <c r="CI5">
        <f>ROUNDUP(( $CI$4 - $CI$7 ) / 10, $CI$2 )</f>
        <v>0</v>
      </c>
    </row>
    <row r="6" spans="1:87" x14ac:dyDescent="0.2">
      <c r="B6">
        <f>ROUND( $B$7 - $B$5, $B$2 )</f>
        <v>70.069999999999993</v>
      </c>
      <c r="C6">
        <f>ROUND( $C$7 - $C$5, $C$2 )</f>
        <v>70.540000000000006</v>
      </c>
      <c r="D6">
        <f>ROUND( $D$7 - $D$5, $D$2 )</f>
        <v>66.709999999999994</v>
      </c>
      <c r="E6">
        <f>ROUND( $E$7 - $E$5, $E$2 )</f>
        <v>70.099999999999994</v>
      </c>
      <c r="F6">
        <f>ROUND( $F$7 - $F$5, $F$2 )</f>
        <v>66.900000000000006</v>
      </c>
      <c r="G6">
        <f>ROUND( $G$7 - $G$5, $G$2 )</f>
        <v>70.39</v>
      </c>
      <c r="H6">
        <f>ROUND( $H$7 - $H$5, $H$2 )</f>
        <v>66.67</v>
      </c>
      <c r="I6">
        <f>ROUND( $I$7 - $I$5, $I$2 )</f>
        <v>68.13</v>
      </c>
      <c r="J6">
        <f>ROUND( $J$7 - $J$5, $J$2 )</f>
        <v>70.16</v>
      </c>
      <c r="K6">
        <f>ROUND( $K$7 - $K$5, $K$2 )</f>
        <v>71.41</v>
      </c>
      <c r="L6">
        <f>ROUND( $L$7 - $L$5, $L$2 )</f>
        <v>68.569999999999993</v>
      </c>
      <c r="M6">
        <f>ROUND( $M$7 - $M$5, $M$2 )</f>
        <v>68.39</v>
      </c>
      <c r="N6">
        <f>ROUND( $N$7 - $N$5, $N$2 )</f>
        <v>0</v>
      </c>
      <c r="O6">
        <f>ROUND( $O$7 - $O$5, $O$2 )</f>
        <v>0</v>
      </c>
      <c r="P6">
        <f>ROUND( $P$7 - $P$5, $P$2 )</f>
        <v>0</v>
      </c>
      <c r="Q6">
        <f>ROUND( $Q$7 - $Q$5, $Q$2 )</f>
        <v>0</v>
      </c>
      <c r="R6">
        <f>ROUND( $R$7 - $R$5, $R$2 )</f>
        <v>0</v>
      </c>
      <c r="S6">
        <f>ROUND( $S$7 - $S$5, $S$2 )</f>
        <v>0</v>
      </c>
      <c r="T6">
        <f>ROUND( $T$7 - $T$5, $T$2 )</f>
        <v>0</v>
      </c>
      <c r="U6">
        <f>ROUND( $U$7 - $U$5, $U$2 )</f>
        <v>0</v>
      </c>
      <c r="V6">
        <f>ROUND( $V$7 - $V$5, $V$2 )</f>
        <v>0</v>
      </c>
      <c r="W6">
        <f>ROUND( $W$7 - $W$5, $W$2 )</f>
        <v>0</v>
      </c>
      <c r="X6">
        <f>ROUND( $X$7 - $X$5, $X$2 )</f>
        <v>0</v>
      </c>
      <c r="Y6">
        <f>ROUND( $Y$7 - $Y$5, $Y$2 )</f>
        <v>0</v>
      </c>
      <c r="Z6">
        <f>ROUND( $Z$7 - $Z$5, $Z$2 )</f>
        <v>49</v>
      </c>
      <c r="AA6">
        <f>ROUND( $AA$7 - $AA$5, $AA$2 )</f>
        <v>49.5</v>
      </c>
      <c r="AB6">
        <f>ROUND( $AB$7 - $AB$5, $AB$2 )</f>
        <v>49</v>
      </c>
      <c r="AC6">
        <f>ROUND( $AC$7 - $AC$5, $AC$2 )</f>
        <v>70.069999999999993</v>
      </c>
      <c r="AD6">
        <f>ROUND( $AD$7 - $AD$5, $AD$2 )</f>
        <v>71.77</v>
      </c>
      <c r="AE6">
        <f>ROUND( $AE$7 - $AE$5, $AE$2 )</f>
        <v>70.290000000000006</v>
      </c>
      <c r="AF6">
        <f>ROUND( $AF$7 - $AF$5, $AF$2 )</f>
        <v>69.94</v>
      </c>
      <c r="AG6">
        <f>ROUND( $AG$7 - $AG$5, $AG$2 )</f>
        <v>70.69</v>
      </c>
      <c r="AH6">
        <f>ROUND( $AH$7 - $AH$5, $AH$2 )</f>
        <v>70.12</v>
      </c>
      <c r="AI6">
        <f>ROUND( $AI$7 - $AI$5, $AI$2 )</f>
        <v>69.92</v>
      </c>
      <c r="AJ6">
        <f>ROUND( $AJ$7 - $AJ$5, $AJ$2 )</f>
        <v>69.47</v>
      </c>
      <c r="AK6">
        <f>ROUND( $AK$7 - $AK$5, $AK$2 )</f>
        <v>71.84</v>
      </c>
      <c r="AL6">
        <f>ROUND( $AL$7 - $AL$5, $AL$2 )</f>
        <v>71.12</v>
      </c>
      <c r="AM6">
        <f>ROUND( $AM$7 - $AM$5, $AM$2 )</f>
        <v>71.099999999999994</v>
      </c>
      <c r="AN6">
        <f>ROUND( $AN$7 - $AN$5, $AN$2 )</f>
        <v>72.44</v>
      </c>
      <c r="AO6">
        <f>ROUND( $AO$7 - $AO$5, $AO$2 )</f>
        <v>49</v>
      </c>
      <c r="AP6">
        <f>ROUND( $AP$7 - $AP$5, $AP$2 )</f>
        <v>49</v>
      </c>
      <c r="AQ6">
        <f>ROUND( $AQ$7 - $AQ$5, $AQ$2 )</f>
        <v>49</v>
      </c>
      <c r="AR6">
        <f>ROUND( $AR$7 - $AR$5, $AR$2 )</f>
        <v>67.900000000000006</v>
      </c>
      <c r="AS6">
        <f>ROUND( $AS$7 - $AS$5, $AS$2 )</f>
        <v>64.84</v>
      </c>
      <c r="AT6">
        <f>ROUND( $AT$7 - $AT$5, $AT$2 )</f>
        <v>63.47</v>
      </c>
      <c r="AU6">
        <f>ROUND( $AU$7 - $AU$5, $AU$2 )</f>
        <v>64.239999999999995</v>
      </c>
      <c r="AV6">
        <f>ROUND( $AV$7 - $AV$5, $AV$2 )</f>
        <v>64.84</v>
      </c>
      <c r="AW6">
        <f>ROUND( $AW$7 - $AW$5, $AW$2 )</f>
        <v>65.12</v>
      </c>
      <c r="AX6">
        <f>ROUND( $AX$7 - $AX$5, $AX$2 )</f>
        <v>62.57</v>
      </c>
      <c r="AY6">
        <f>ROUND( $AY$7 - $AY$5, $AY$2 )</f>
        <v>67</v>
      </c>
      <c r="AZ6">
        <f>ROUND( $AZ$7 - $AZ$5, $AZ$2 )</f>
        <v>69.98</v>
      </c>
      <c r="BA6">
        <f>ROUND( $BA$7 - $BA$5, $BA$2 )</f>
        <v>64.180000000000007</v>
      </c>
      <c r="BB6">
        <f>ROUND( $BB$7 - $BB$5, $BB$2 )</f>
        <v>65.38</v>
      </c>
      <c r="BC6">
        <f>ROUND( $BC$7 - $BC$5, $BC$2 )</f>
        <v>67.209999999999994</v>
      </c>
      <c r="BD6">
        <f>ROUND( $BD$7 - $BD$5, $BD$2 )</f>
        <v>67.02</v>
      </c>
      <c r="BE6">
        <f>ROUND( $BE$7 - $BE$5, $BE$2 )</f>
        <v>67.650000000000006</v>
      </c>
      <c r="BF6">
        <f>ROUND( $BF$7 - $BF$5, $BF$2 )</f>
        <v>64.66</v>
      </c>
      <c r="BG6">
        <f>ROUND( $BG$7 - $BG$5, $BG$2 )</f>
        <v>68.34</v>
      </c>
      <c r="BH6">
        <f>ROUND( $BH$7 - $BH$5, $BH$2 )</f>
        <v>67.17</v>
      </c>
      <c r="BI6">
        <f>ROUND( $BI$7 - $BI$5, $BI$2 )</f>
        <v>67.33</v>
      </c>
      <c r="BJ6">
        <f>ROUND( $BJ$7 - $BJ$5, $BJ$2 )</f>
        <v>66.569999999999993</v>
      </c>
      <c r="BK6">
        <f>ROUND( $BK$7 - $BK$5, $BK$2 )</f>
        <v>67.2</v>
      </c>
      <c r="BL6">
        <f>ROUND( $BL$7 - $BL$5, $BL$2 )</f>
        <v>68.59</v>
      </c>
      <c r="BM6">
        <f>ROUND( $BM$7 - $BM$5, $BM$2 )</f>
        <v>69.599999999999994</v>
      </c>
      <c r="BN6">
        <f>ROUND( $BN$7 - $BN$5, $BN$2 )</f>
        <v>67.11</v>
      </c>
      <c r="BO6">
        <f>ROUND( $BO$7 - $BO$5, $BO$2 )</f>
        <v>66.58</v>
      </c>
      <c r="BP6">
        <f>ROUND( $BP$7 - $BP$5, $BP$2 )</f>
        <v>67.05</v>
      </c>
      <c r="BQ6">
        <f>ROUND( $BQ$7 - $BQ$5, $BQ$2 )</f>
        <v>63.62</v>
      </c>
      <c r="BR6">
        <f>ROUND( $BR$7 - $BR$5, $BR$2 )</f>
        <v>64.03</v>
      </c>
      <c r="BS6">
        <f>ROUND( $BS$7 - $BS$5, $BS$2 )</f>
        <v>65.38</v>
      </c>
      <c r="BT6">
        <f>ROUND( $BT$7 - $BT$5, $BT$2 )</f>
        <v>63.91</v>
      </c>
      <c r="BU6">
        <f>ROUND( $BU$7 - $BU$5, $BU$2 )</f>
        <v>66.87</v>
      </c>
      <c r="BV6">
        <f>ROUND( $BV$7 - $BV$5, $BV$2 )</f>
        <v>64.900000000000006</v>
      </c>
      <c r="BW6">
        <f>ROUND( $BW$7 - $BW$5, $BW$2 )</f>
        <v>65.28</v>
      </c>
      <c r="BX6">
        <f>ROUND( $BX$7 - $BX$5, $BX$2 )</f>
        <v>69.319999999999993</v>
      </c>
      <c r="BY6">
        <f>ROUND( $BY$7 - $BY$5, $BY$2 )</f>
        <v>67.62</v>
      </c>
      <c r="BZ6">
        <f>ROUND( $BZ$7 - $BZ$5, $BZ$2 )</f>
        <v>68.38</v>
      </c>
      <c r="CA6">
        <f>ROUND( $CA$7 - $CA$5, $CA$2 )</f>
        <v>64.88</v>
      </c>
      <c r="CB6">
        <f>ROUND( $CB$7 - $CB$5, $CB$2 )</f>
        <v>45.32</v>
      </c>
      <c r="CC6">
        <f>ROUND( $CC$7 - $CC$5, $CC$2 )</f>
        <v>45.32</v>
      </c>
      <c r="CD6">
        <f>ROUND( $CD$7 - $CD$5, $CD$2 )</f>
        <v>74.599999999999994</v>
      </c>
      <c r="CE6">
        <f>ROUND( $CE$7 - $CE$5, $CE$2 )</f>
        <v>60</v>
      </c>
      <c r="CF6">
        <f>ROUND( $CF$7 - $CF$5, $CF$2 )</f>
        <v>44</v>
      </c>
      <c r="CG6">
        <f>ROUND( $CG$7 - $CG$5, $CG$2 )</f>
        <v>49</v>
      </c>
      <c r="CH6">
        <f>ROUND( $CH$7 - $CH$5, $CH$2 )</f>
        <v>49</v>
      </c>
      <c r="CI6">
        <f>ROUND( $CI$7 - $CI$5, $CI$2 )</f>
        <v>60</v>
      </c>
    </row>
    <row r="7" spans="1:87" x14ac:dyDescent="0.2">
      <c r="B7">
        <f>ROUNDDOWN( MIN( Q_1 ), $B$2 ) + $B$3</f>
        <v>71.209999999999994</v>
      </c>
      <c r="C7">
        <f>ROUNDDOWN( MIN( Q_10 ), $C$2 ) + $C$3</f>
        <v>71.599999999999994</v>
      </c>
      <c r="D7">
        <f>ROUNDDOWN( MIN( Q_11 ), $D$2 ) + $D$3</f>
        <v>68.150000000000006</v>
      </c>
      <c r="E7">
        <f>ROUNDDOWN( MIN( Q_12 ), $E$2 ) + $E$3</f>
        <v>71.27</v>
      </c>
      <c r="F7">
        <f>ROUNDDOWN( MIN( Q_2 ), $F$2 ) + $F$3</f>
        <v>68.38</v>
      </c>
      <c r="G7">
        <f>ROUNDDOWN( MIN( Q_3 ), $G$2 ) + $G$3</f>
        <v>71.44</v>
      </c>
      <c r="H7">
        <f>ROUNDDOWN( MIN( Q_4 ), $H$2 ) + $H$3</f>
        <v>68.14</v>
      </c>
      <c r="I7">
        <f>ROUNDDOWN( MIN( Q_5 ), $I$2 ) + $I$3</f>
        <v>69.569999999999993</v>
      </c>
      <c r="J7">
        <f>ROUNDDOWN( MIN( Q_6 ), $J$2 ) + $J$3</f>
        <v>71.33</v>
      </c>
      <c r="K7">
        <f>ROUNDDOWN( MIN( Q_7 ), $K$2 ) + $K$3</f>
        <v>72.41</v>
      </c>
      <c r="L7">
        <f>ROUNDDOWN( MIN( Q_8 ), $L$2 ) + $L$3</f>
        <v>69.92</v>
      </c>
      <c r="M7">
        <f>ROUNDDOWN( MIN( Q_9 ), $M$2 ) + $M$3</f>
        <v>69.959999999999994</v>
      </c>
      <c r="N7">
        <f>ROUNDDOWN( MIN( AWF_Q_1 ), $N$2 ) + $N$3</f>
        <v>0</v>
      </c>
      <c r="O7">
        <f>ROUNDDOWN( MIN( AWF_Q_2 ), $O$2 ) + $O$3</f>
        <v>0</v>
      </c>
      <c r="P7">
        <f>ROUNDDOWN( MIN( AWF_Q_3 ), $P$2 ) + $P$3</f>
        <v>0</v>
      </c>
      <c r="Q7">
        <f>ROUNDDOWN( MIN( AWF_Q_4 ), $Q$2 ) + $Q$3</f>
        <v>0</v>
      </c>
      <c r="R7">
        <f>ROUNDDOWN( MIN( AWF_Q_5 ), $R$2 ) + $R$3</f>
        <v>0</v>
      </c>
      <c r="S7">
        <f>ROUNDDOWN( MIN( AWF_Q_6 ), $S$2 ) + $S$3</f>
        <v>0</v>
      </c>
      <c r="T7">
        <f>ROUNDDOWN( MIN( AWF_Q_7 ), $T$2 ) + $T$3</f>
        <v>0</v>
      </c>
      <c r="U7">
        <f>ROUNDDOWN( MIN( AWF_Q_8 ), $U$2 ) + $U$3</f>
        <v>0</v>
      </c>
      <c r="V7">
        <f>ROUNDDOWN( MIN( AWF_Q_9 ), $V$2 ) + $V$3</f>
        <v>0</v>
      </c>
      <c r="W7">
        <f>ROUNDDOWN( MIN( AWF_Q_10 ), $W$2 ) + $W$3</f>
        <v>0</v>
      </c>
      <c r="X7">
        <f>ROUNDDOWN( MIN( AWF_Q_11 ), $X$2 ) + $X$3</f>
        <v>0</v>
      </c>
      <c r="Y7">
        <f>ROUNDDOWN( MIN( AWF_Q_12 ), $Y$2 ) + $Y$3</f>
        <v>0</v>
      </c>
      <c r="Z7">
        <f>ROUNDDOWN( MIN( Total_Quartery_Award_Fee ), $Z$2 ) + $Z$3</f>
        <v>50</v>
      </c>
      <c r="AA7">
        <f>ROUNDDOWN( MIN( Total_Quartery_Award_Fee ), $AA$2 ) + $AA$3</f>
        <v>50</v>
      </c>
      <c r="AB7">
        <f>ROUNDDOWN( MIN( Total_Quartery_Award_Fee ), $AB$2 ) + $AB$3</f>
        <v>50</v>
      </c>
      <c r="AC7">
        <f>ROUNDDOWN( MIN( RQ_1 ), $AC$2 ) + $AC$3</f>
        <v>71.209999999999994</v>
      </c>
      <c r="AD7">
        <f>ROUNDDOWN( MIN( RQ_10 ), $AD$2 ) + $AD$3</f>
        <v>72.55</v>
      </c>
      <c r="AE7">
        <f>ROUNDDOWN( MIN( RQ_11 ), $AE$2 ) + $AE$3</f>
        <v>71.180000000000007</v>
      </c>
      <c r="AF7">
        <f>ROUNDDOWN( MIN( RQ_12 ), $AF$2 ) + $AF$3</f>
        <v>71.03</v>
      </c>
      <c r="AG7">
        <f>ROUNDDOWN( MIN( RQ_2 ), $AG$2 ) + $AG$3</f>
        <v>71.709999999999994</v>
      </c>
      <c r="AH7">
        <f>ROUNDDOWN( MIN( RQ_3 ), $AH$2 ) + $AH$3</f>
        <v>71.2</v>
      </c>
      <c r="AI7">
        <f>ROUNDDOWN( MIN( RQ_4 ), $AI$2 ) + $AI$3</f>
        <v>70.959999999999994</v>
      </c>
      <c r="AJ7">
        <f>ROUNDDOWN( MIN( RQ_5 ), $AJ$2 ) + $AJ$3</f>
        <v>70.62</v>
      </c>
      <c r="AK7">
        <f>ROUNDDOWN( MIN( RQ_6 ), $AK$2 ) + $AK$3</f>
        <v>72.73</v>
      </c>
      <c r="AL7">
        <f>ROUNDDOWN( MIN( RQ_7 ), $AL$2 ) + $AL$3</f>
        <v>72.069999999999993</v>
      </c>
      <c r="AM7">
        <f>ROUNDDOWN( MIN( RQ_8 ), $AM$2 ) + $AM$3</f>
        <v>72.08</v>
      </c>
      <c r="AN7">
        <f>ROUNDDOWN( MIN( RQ_9 ), $AN$2 ) + $AN$3</f>
        <v>73.27</v>
      </c>
      <c r="AO7">
        <f>ROUNDDOWN( MIN( Total_Quartery_Award_Fee ), $AO$2 ) + $AO$3</f>
        <v>50</v>
      </c>
      <c r="AP7">
        <f>ROUNDDOWN( MIN( Total_Quartery_Award_Fee ), $AP$2 ) + $AP$3</f>
        <v>50</v>
      </c>
      <c r="AQ7">
        <f>ROUNDDOWN( MIN( Total_Roling_Qtrly_Awrd_Fee ), $AQ$2 ) + $AQ$3</f>
        <v>50</v>
      </c>
      <c r="AR7">
        <f>ROUNDDOWN( MIN( M_1 ), $AR$2 ) + $AR$3</f>
        <v>69.34</v>
      </c>
      <c r="AS7">
        <f>ROUNDDOWN( MIN( M_10 ), $AS$2 ) + $AS$3</f>
        <v>66.510000000000005</v>
      </c>
      <c r="AT7">
        <f>ROUNDDOWN( MIN( M_11 ), $AT$2 ) + $AT$3</f>
        <v>65.260000000000005</v>
      </c>
      <c r="AU7">
        <f>ROUNDDOWN( MIN( M_12 ), $AU$2 ) + $AU$3</f>
        <v>66.12</v>
      </c>
      <c r="AV7">
        <f>ROUNDDOWN( MIN( M_13 ), $AV$2 ) + $AV$3</f>
        <v>66.709999999999994</v>
      </c>
      <c r="AW7">
        <f>ROUNDDOWN( MIN( M_14 ), $AW$2 ) + $AW$3</f>
        <v>66.98</v>
      </c>
      <c r="AX7">
        <f>ROUNDDOWN( MIN( M_15 ), $AX$2 ) + $AX$3</f>
        <v>64.67</v>
      </c>
      <c r="AY7">
        <f>ROUNDDOWN( MIN( M_16 ), $AY$2 ) + $AY$3</f>
        <v>68.72</v>
      </c>
      <c r="AZ7">
        <f>ROUNDDOWN( MIN( M_17 ), $AZ$2 ) + $AZ$3</f>
        <v>71.260000000000005</v>
      </c>
      <c r="BA7">
        <f>ROUNDDOWN( MIN( M_18 ), $BA$2 ) + $BA$3</f>
        <v>66.28</v>
      </c>
      <c r="BB7">
        <f>ROUNDDOWN( MIN( M_19 ), $BB$2 ) + $BB$3</f>
        <v>67.28</v>
      </c>
      <c r="BC7">
        <f>ROUNDDOWN( MIN( M_2 ), $BC$2 ) + $BC$3</f>
        <v>68.709999999999994</v>
      </c>
      <c r="BD7">
        <f>ROUNDDOWN( MIN( M_20 ), $BD$2 ) + $BD$3</f>
        <v>68.489999999999995</v>
      </c>
      <c r="BE7">
        <f>ROUNDDOWN( MIN( M_21 ), $BE$2 ) + $BE$3</f>
        <v>69.12</v>
      </c>
      <c r="BF7">
        <f>ROUNDDOWN( MIN( M_22 ), $BF$2 ) + $BF$3</f>
        <v>66.790000000000006</v>
      </c>
      <c r="BG7">
        <f>ROUNDDOWN( MIN( M_23 ), $BG$2 ) + $BG$3</f>
        <v>69.89</v>
      </c>
      <c r="BH7">
        <f>ROUNDDOWN( MIN( M_24 ), $BH$2 ) + $BH$3</f>
        <v>68.78</v>
      </c>
      <c r="BI7">
        <f>ROUNDDOWN( MIN( M_25 ), $BI$2 ) + $BI$3</f>
        <v>68.959999999999994</v>
      </c>
      <c r="BJ7">
        <f>ROUNDDOWN( MIN( M_26 ), $BJ$2 ) + $BJ$3</f>
        <v>68.53</v>
      </c>
      <c r="BK7">
        <f>ROUNDDOWN( MIN( M_27 ), $BK$2 ) + $BK$3</f>
        <v>68.77</v>
      </c>
      <c r="BL7">
        <f>ROUNDDOWN( MIN( M_28 ), $BL$2 ) + $BL$3</f>
        <v>69.849999999999994</v>
      </c>
      <c r="BM7">
        <f>ROUNDDOWN( MIN( M_29 ), $BM$2 ) + $BM$3</f>
        <v>70.84</v>
      </c>
      <c r="BN7">
        <f>ROUNDDOWN( MIN( M_3 ), $BN$2 ) + $BN$3</f>
        <v>68.81</v>
      </c>
      <c r="BO7">
        <f>ROUNDDOWN( MIN( M_30 ), $BO$2 ) + $BO$3</f>
        <v>68.319999999999993</v>
      </c>
      <c r="BP7">
        <f>ROUNDDOWN( MIN( M_31 ), $BP$2 ) + $BP$3</f>
        <v>68.569999999999993</v>
      </c>
      <c r="BQ7">
        <f>ROUNDDOWN( MIN( M_32 ), $BQ$2 ) + $BQ$3</f>
        <v>65.63</v>
      </c>
      <c r="BR7">
        <f>ROUNDDOWN( MIN( M_33 ), $BR$2 ) + $BR$3</f>
        <v>65.849999999999994</v>
      </c>
      <c r="BS7">
        <f>ROUNDDOWN( MIN( M_34 ), $BS$2 ) + $BS$3</f>
        <v>67</v>
      </c>
      <c r="BT7">
        <f>ROUNDDOWN( MIN( M_35 ), $BT$2 ) + $BT$3</f>
        <v>65.77</v>
      </c>
      <c r="BU7">
        <f>ROUNDDOWN( MIN( M_36 ), $BU$2 ) + $BU$3</f>
        <v>68.42</v>
      </c>
      <c r="BV7">
        <f>ROUNDDOWN( MIN( M_4 ), $BV$2 ) + $BV$3</f>
        <v>66.7</v>
      </c>
      <c r="BW7">
        <f>ROUNDDOWN( MIN( M_5 ), $BW$2 ) + $BW$3</f>
        <v>66.94</v>
      </c>
      <c r="BX7">
        <f>ROUNDDOWN( MIN( M_6 ), $BX$2 ) + $BX$3</f>
        <v>70.709999999999994</v>
      </c>
      <c r="BY7">
        <f>ROUNDDOWN( MIN( M_7 ), $BY$2 ) + $BY$3</f>
        <v>69.39</v>
      </c>
      <c r="BZ7">
        <f>ROUNDDOWN( MIN( M_8 ), $BZ$2 ) + $BZ$3</f>
        <v>69.78</v>
      </c>
      <c r="CA7">
        <f>ROUNDDOWN( MIN( M_9 ), $CA$2 ) + $CA$3</f>
        <v>66.62</v>
      </c>
      <c r="CB7">
        <f>ROUNDDOWN( MIN( Total_Monthly_Award_Fee ), $CB$2 ) + $CB$3</f>
        <v>46.66</v>
      </c>
      <c r="CC7">
        <f>ROUNDDOWN( MIN( Total_Monthly_Award_Fee ), $CC$2 ) + $CC$3</f>
        <v>46.66</v>
      </c>
      <c r="CD7">
        <f>ROUNDDOWN( MIN( Three_Year_Average ), $CD$2 ) + $CD$3</f>
        <v>75</v>
      </c>
      <c r="CE7">
        <f>ROUNDDOWN( MIN( TYA_AF ), $CE$2 ) + $CE$3</f>
        <v>60</v>
      </c>
      <c r="CF7">
        <f>ROUNDDOWN( MIN( Total_Monthly_Award_Fee ), $CF$2 ) + $CF$3</f>
        <v>46</v>
      </c>
      <c r="CG7">
        <f>ROUNDDOWN( MIN( Total_Quartery_Award_Fee ), $CG$2 ) + $CG$3</f>
        <v>50</v>
      </c>
      <c r="CH7">
        <f>ROUNDDOWN( MIN( Total_Roling_Qtrly_Awrd_Fee ), $CH$2 ) + $CH$3</f>
        <v>50</v>
      </c>
      <c r="CI7">
        <f>ROUNDDOWN( MIN( TYA_AF ), $CI$2 ) + $CI$3</f>
        <v>60</v>
      </c>
    </row>
    <row r="8" spans="1:87" x14ac:dyDescent="0.2">
      <c r="B8">
        <f>ROUND( $B$7 + $B$5, $B$2 )</f>
        <v>72.349999999999994</v>
      </c>
      <c r="C8">
        <f>ROUND( $C$7 + $C$5, $C$2 )</f>
        <v>72.66</v>
      </c>
      <c r="D8">
        <f>ROUND( $D$7 + $D$5, $D$2 )</f>
        <v>69.59</v>
      </c>
      <c r="E8">
        <f>ROUND( $E$7 + $E$5, $E$2 )</f>
        <v>72.44</v>
      </c>
      <c r="F8">
        <f>ROUND( $F$7 + $F$5, $F$2 )</f>
        <v>69.86</v>
      </c>
      <c r="G8">
        <f>ROUND( $G$7 + $G$5, $G$2 )</f>
        <v>72.489999999999995</v>
      </c>
      <c r="H8">
        <f>ROUND( $H$7 + $H$5, $H$2 )</f>
        <v>69.61</v>
      </c>
      <c r="I8">
        <f>ROUND( $I$7 + $I$5, $I$2 )</f>
        <v>71.010000000000005</v>
      </c>
      <c r="J8">
        <f>ROUND( $J$7 + $J$5, $J$2 )</f>
        <v>72.5</v>
      </c>
      <c r="K8">
        <f>ROUND( $K$7 + $K$5, $K$2 )</f>
        <v>73.41</v>
      </c>
      <c r="L8">
        <f>ROUND( $L$7 + $L$5, $L$2 )</f>
        <v>71.27</v>
      </c>
      <c r="M8">
        <f>ROUND( $M$7 + $M$5, $M$2 )</f>
        <v>71.53</v>
      </c>
      <c r="N8">
        <f>ROUND( $N$7 + $N$5, $N$2 )</f>
        <v>0</v>
      </c>
      <c r="O8">
        <f>ROUND( $O$7 + $O$5, $O$2 )</f>
        <v>0</v>
      </c>
      <c r="P8">
        <f>ROUND( $P$7 + $P$5, $P$2 )</f>
        <v>0</v>
      </c>
      <c r="Q8">
        <f>ROUND( $Q$7 + $Q$5, $Q$2 )</f>
        <v>0</v>
      </c>
      <c r="R8">
        <f>ROUND( $R$7 + $R$5, $R$2 )</f>
        <v>0</v>
      </c>
      <c r="S8">
        <f>ROUND( $S$7 + $S$5, $S$2 )</f>
        <v>0</v>
      </c>
      <c r="T8">
        <f>ROUND( $T$7 + $T$5, $T$2 )</f>
        <v>0</v>
      </c>
      <c r="U8">
        <f>ROUND( $U$7 + $U$5, $U$2 )</f>
        <v>0</v>
      </c>
      <c r="V8">
        <f>ROUND( $V$7 + $V$5, $V$2 )</f>
        <v>0</v>
      </c>
      <c r="W8">
        <f>ROUND( $W$7 + $W$5, $W$2 )</f>
        <v>0</v>
      </c>
      <c r="X8">
        <f>ROUND( $X$7 + $X$5, $X$2 )</f>
        <v>0</v>
      </c>
      <c r="Y8">
        <f>ROUND( $Y$7 + $Y$5, $Y$2 )</f>
        <v>0</v>
      </c>
      <c r="Z8">
        <f>ROUND( $Z$7 + $Z$5, $Z$2 )</f>
        <v>51</v>
      </c>
      <c r="AA8">
        <f>ROUND( $AA$7 + $AA$5, $AA$2 )</f>
        <v>50.5</v>
      </c>
      <c r="AB8">
        <f>ROUND( $AB$7 + $AB$5, $AB$2 )</f>
        <v>51</v>
      </c>
      <c r="AC8">
        <f>ROUND( $AC$7 + $AC$5, $AC$2 )</f>
        <v>72.349999999999994</v>
      </c>
      <c r="AD8">
        <f>ROUND( $AD$7 + $AD$5, $AD$2 )</f>
        <v>73.33</v>
      </c>
      <c r="AE8">
        <f>ROUND( $AE$7 + $AE$5, $AE$2 )</f>
        <v>72.069999999999993</v>
      </c>
      <c r="AF8">
        <f>ROUND( $AF$7 + $AF$5, $AF$2 )</f>
        <v>72.12</v>
      </c>
      <c r="AG8">
        <f>ROUND( $AG$7 + $AG$5, $AG$2 )</f>
        <v>72.73</v>
      </c>
      <c r="AH8">
        <f>ROUND( $AH$7 + $AH$5, $AH$2 )</f>
        <v>72.28</v>
      </c>
      <c r="AI8">
        <f>ROUND( $AI$7 + $AI$5, $AI$2 )</f>
        <v>72</v>
      </c>
      <c r="AJ8">
        <f>ROUND( $AJ$7 + $AJ$5, $AJ$2 )</f>
        <v>71.77</v>
      </c>
      <c r="AK8">
        <f>ROUND( $AK$7 + $AK$5, $AK$2 )</f>
        <v>73.62</v>
      </c>
      <c r="AL8">
        <f>ROUND( $AL$7 + $AL$5, $AL$2 )</f>
        <v>73.02</v>
      </c>
      <c r="AM8">
        <f>ROUND( $AM$7 + $AM$5, $AM$2 )</f>
        <v>73.06</v>
      </c>
      <c r="AN8">
        <f>ROUND( $AN$7 + $AN$5, $AN$2 )</f>
        <v>74.099999999999994</v>
      </c>
      <c r="AO8">
        <f>ROUND( $AO$7 + $AO$5, $AO$2 )</f>
        <v>51</v>
      </c>
      <c r="AP8">
        <f>ROUND( $AP$7 + $AP$5, $AP$2 )</f>
        <v>51</v>
      </c>
      <c r="AQ8">
        <f>ROUND( $AQ$7 + $AQ$5, $AQ$2 )</f>
        <v>51</v>
      </c>
      <c r="AR8">
        <f>ROUND( $AR$7 + $AR$5, $AR$2 )</f>
        <v>70.78</v>
      </c>
      <c r="AS8">
        <f>ROUND( $AS$7 + $AS$5, $AS$2 )</f>
        <v>68.180000000000007</v>
      </c>
      <c r="AT8">
        <f>ROUND( $AT$7 + $AT$5, $AT$2 )</f>
        <v>67.05</v>
      </c>
      <c r="AU8">
        <f>ROUND( $AU$7 + $AU$5, $AU$2 )</f>
        <v>68</v>
      </c>
      <c r="AV8">
        <f>ROUND( $AV$7 + $AV$5, $AV$2 )</f>
        <v>68.58</v>
      </c>
      <c r="AW8">
        <f>ROUND( $AW$7 + $AW$5, $AW$2 )</f>
        <v>68.84</v>
      </c>
      <c r="AX8">
        <f>ROUND( $AX$7 + $AX$5, $AX$2 )</f>
        <v>66.77</v>
      </c>
      <c r="AY8">
        <f>ROUND( $AY$7 + $AY$5, $AY$2 )</f>
        <v>70.44</v>
      </c>
      <c r="AZ8">
        <f>ROUND( $AZ$7 + $AZ$5, $AZ$2 )</f>
        <v>72.540000000000006</v>
      </c>
      <c r="BA8">
        <f>ROUND( $BA$7 + $BA$5, $BA$2 )</f>
        <v>68.38</v>
      </c>
      <c r="BB8">
        <f>ROUND( $BB$7 + $BB$5, $BB$2 )</f>
        <v>69.180000000000007</v>
      </c>
      <c r="BC8">
        <f>ROUND( $BC$7 + $BC$5, $BC$2 )</f>
        <v>70.209999999999994</v>
      </c>
      <c r="BD8">
        <f>ROUND( $BD$7 + $BD$5, $BD$2 )</f>
        <v>69.959999999999994</v>
      </c>
      <c r="BE8">
        <f>ROUND( $BE$7 + $BE$5, $BE$2 )</f>
        <v>70.59</v>
      </c>
      <c r="BF8">
        <f>ROUND( $BF$7 + $BF$5, $BF$2 )</f>
        <v>68.92</v>
      </c>
      <c r="BG8">
        <f>ROUND( $BG$7 + $BG$5, $BG$2 )</f>
        <v>71.44</v>
      </c>
      <c r="BH8">
        <f>ROUND( $BH$7 + $BH$5, $BH$2 )</f>
        <v>70.39</v>
      </c>
      <c r="BI8">
        <f>ROUND( $BI$7 + $BI$5, $BI$2 )</f>
        <v>70.59</v>
      </c>
      <c r="BJ8">
        <f>ROUND( $BJ$7 + $BJ$5, $BJ$2 )</f>
        <v>70.489999999999995</v>
      </c>
      <c r="BK8">
        <f>ROUND( $BK$7 + $BK$5, $BK$2 )</f>
        <v>70.34</v>
      </c>
      <c r="BL8">
        <f>ROUND( $BL$7 + $BL$5, $BL$2 )</f>
        <v>71.11</v>
      </c>
      <c r="BM8">
        <f>ROUND( $BM$7 + $BM$5, $BM$2 )</f>
        <v>72.08</v>
      </c>
      <c r="BN8">
        <f>ROUND( $BN$7 + $BN$5, $BN$2 )</f>
        <v>70.510000000000005</v>
      </c>
      <c r="BO8">
        <f>ROUND( $BO$7 + $BO$5, $BO$2 )</f>
        <v>70.06</v>
      </c>
      <c r="BP8">
        <f>ROUND( $BP$7 + $BP$5, $BP$2 )</f>
        <v>70.09</v>
      </c>
      <c r="BQ8">
        <f>ROUND( $BQ$7 + $BQ$5, $BQ$2 )</f>
        <v>67.64</v>
      </c>
      <c r="BR8">
        <f>ROUND( $BR$7 + $BR$5, $BR$2 )</f>
        <v>67.67</v>
      </c>
      <c r="BS8">
        <f>ROUND( $BS$7 + $BS$5, $BS$2 )</f>
        <v>68.62</v>
      </c>
      <c r="BT8">
        <f>ROUND( $BT$7 + $BT$5, $BT$2 )</f>
        <v>67.63</v>
      </c>
      <c r="BU8">
        <f>ROUND( $BU$7 + $BU$5, $BU$2 )</f>
        <v>69.97</v>
      </c>
      <c r="BV8">
        <f>ROUND( $BV$7 + $BV$5, $BV$2 )</f>
        <v>68.5</v>
      </c>
      <c r="BW8">
        <f>ROUND( $BW$7 + $BW$5, $BW$2 )</f>
        <v>68.599999999999994</v>
      </c>
      <c r="BX8">
        <f>ROUND( $BX$7 + $BX$5, $BX$2 )</f>
        <v>72.099999999999994</v>
      </c>
      <c r="BY8">
        <f>ROUND( $BY$7 + $BY$5, $BY$2 )</f>
        <v>71.16</v>
      </c>
      <c r="BZ8">
        <f>ROUND( $BZ$7 + $BZ$5, $BZ$2 )</f>
        <v>71.180000000000007</v>
      </c>
      <c r="CA8">
        <f>ROUND( $CA$7 + $CA$5, $CA$2 )</f>
        <v>68.36</v>
      </c>
      <c r="CB8">
        <f>ROUND( $CB$7 + $CB$5, $CB$2 )</f>
        <v>48</v>
      </c>
      <c r="CC8">
        <f>ROUND( $CC$7 + $CC$5, $CC$2 )</f>
        <v>48</v>
      </c>
      <c r="CD8">
        <f>ROUND( $CD$7 + $CD$5, $CD$2 )</f>
        <v>75.400000000000006</v>
      </c>
      <c r="CE8">
        <f>ROUND( $CE$7 + $CE$5, $CE$2 )</f>
        <v>60</v>
      </c>
      <c r="CF8">
        <f>ROUND( $CF$7 + $CF$5, $CF$2 )</f>
        <v>48</v>
      </c>
      <c r="CG8">
        <f>ROUND( $CG$7 + $CG$5, $CG$2 )</f>
        <v>51</v>
      </c>
      <c r="CH8">
        <f>ROUND( $CH$7 + $CH$5, $CH$2 )</f>
        <v>51</v>
      </c>
      <c r="CI8">
        <f>ROUND( $CI$7 + $CI$5, $CI$2 )</f>
        <v>60</v>
      </c>
    </row>
    <row r="9" spans="1:87" x14ac:dyDescent="0.2">
      <c r="B9">
        <f>ROUND( $B$8 + $B$5, $B$2 )</f>
        <v>73.489999999999995</v>
      </c>
      <c r="C9">
        <f>ROUND( $C$8 + $C$5, $C$2 )</f>
        <v>73.72</v>
      </c>
      <c r="D9">
        <f>ROUND( $D$8 + $D$5, $D$2 )</f>
        <v>71.03</v>
      </c>
      <c r="E9">
        <f>ROUND( $E$8 + $E$5, $E$2 )</f>
        <v>73.61</v>
      </c>
      <c r="F9">
        <f>ROUND( $F$8 + $F$5, $F$2 )</f>
        <v>71.34</v>
      </c>
      <c r="G9">
        <f>ROUND( $G$8 + $G$5, $G$2 )</f>
        <v>73.540000000000006</v>
      </c>
      <c r="H9">
        <f>ROUND( $H$8 + $H$5, $H$2 )</f>
        <v>71.08</v>
      </c>
      <c r="I9">
        <f>ROUND( $I$8 + $I$5, $I$2 )</f>
        <v>72.45</v>
      </c>
      <c r="J9">
        <f>ROUND( $J$8 + $J$5, $J$2 )</f>
        <v>73.67</v>
      </c>
      <c r="K9">
        <f>ROUND( $K$8 + $K$5, $K$2 )</f>
        <v>74.41</v>
      </c>
      <c r="L9">
        <f>ROUND( $L$8 + $L$5, $L$2 )</f>
        <v>72.62</v>
      </c>
      <c r="M9">
        <f>ROUND( $M$8 + $M$5, $M$2 )</f>
        <v>73.099999999999994</v>
      </c>
      <c r="N9">
        <f>ROUND( $N$8 + $N$5, $N$2 )</f>
        <v>0</v>
      </c>
      <c r="O9">
        <f>ROUND( $O$8 + $O$5, $O$2 )</f>
        <v>0</v>
      </c>
      <c r="P9">
        <f>ROUND( $P$8 + $P$5, $P$2 )</f>
        <v>0</v>
      </c>
      <c r="Q9">
        <f>ROUND( $Q$8 + $Q$5, $Q$2 )</f>
        <v>0</v>
      </c>
      <c r="R9">
        <f>ROUND( $R$8 + $R$5, $R$2 )</f>
        <v>0</v>
      </c>
      <c r="S9">
        <f>ROUND( $S$8 + $S$5, $S$2 )</f>
        <v>0</v>
      </c>
      <c r="T9">
        <f>ROUND( $T$8 + $T$5, $T$2 )</f>
        <v>0</v>
      </c>
      <c r="U9">
        <f>ROUND( $U$8 + $U$5, $U$2 )</f>
        <v>0</v>
      </c>
      <c r="V9">
        <f>ROUND( $V$8 + $V$5, $V$2 )</f>
        <v>0</v>
      </c>
      <c r="W9">
        <f>ROUND( $W$8 + $W$5, $W$2 )</f>
        <v>0</v>
      </c>
      <c r="X9">
        <f>ROUND( $X$8 + $X$5, $X$2 )</f>
        <v>0</v>
      </c>
      <c r="Y9">
        <f>ROUND( $Y$8 + $Y$5, $Y$2 )</f>
        <v>0</v>
      </c>
      <c r="Z9">
        <f>ROUND( $Z$8 + $Z$5, $Z$2 )</f>
        <v>52</v>
      </c>
      <c r="AA9">
        <f>ROUND( $AA$8 + $AA$5, $AA$2 )</f>
        <v>51</v>
      </c>
      <c r="AB9">
        <f>ROUND( $AB$8 + $AB$5, $AB$2 )</f>
        <v>52</v>
      </c>
      <c r="AC9">
        <f>ROUND( $AC$8 + $AC$5, $AC$2 )</f>
        <v>73.489999999999995</v>
      </c>
      <c r="AD9">
        <f>ROUND( $AD$8 + $AD$5, $AD$2 )</f>
        <v>74.11</v>
      </c>
      <c r="AE9">
        <f>ROUND( $AE$8 + $AE$5, $AE$2 )</f>
        <v>72.959999999999994</v>
      </c>
      <c r="AF9">
        <f>ROUND( $AF$8 + $AF$5, $AF$2 )</f>
        <v>73.209999999999994</v>
      </c>
      <c r="AG9">
        <f>ROUND( $AG$8 + $AG$5, $AG$2 )</f>
        <v>73.75</v>
      </c>
      <c r="AH9">
        <f>ROUND( $AH$8 + $AH$5, $AH$2 )</f>
        <v>73.36</v>
      </c>
      <c r="AI9">
        <f>ROUND( $AI$8 + $AI$5, $AI$2 )</f>
        <v>73.040000000000006</v>
      </c>
      <c r="AJ9">
        <f>ROUND( $AJ$8 + $AJ$5, $AJ$2 )</f>
        <v>72.92</v>
      </c>
      <c r="AK9">
        <f>ROUND( $AK$8 + $AK$5, $AK$2 )</f>
        <v>74.510000000000005</v>
      </c>
      <c r="AL9">
        <f>ROUND( $AL$8 + $AL$5, $AL$2 )</f>
        <v>73.97</v>
      </c>
      <c r="AM9">
        <f>ROUND( $AM$8 + $AM$5, $AM$2 )</f>
        <v>74.040000000000006</v>
      </c>
      <c r="AN9">
        <f>ROUND( $AN$8 + $AN$5, $AN$2 )</f>
        <v>74.930000000000007</v>
      </c>
      <c r="AO9">
        <f>ROUND( $AO$8 + $AO$5, $AO$2 )</f>
        <v>52</v>
      </c>
      <c r="AP9">
        <f>ROUND( $AP$8 + $AP$5, $AP$2 )</f>
        <v>52</v>
      </c>
      <c r="AQ9">
        <f>ROUND( $AQ$8 + $AQ$5, $AQ$2 )</f>
        <v>52</v>
      </c>
      <c r="AR9">
        <f>ROUND( $AR$8 + $AR$5, $AR$2 )</f>
        <v>72.22</v>
      </c>
      <c r="AS9">
        <f>ROUND( $AS$8 + $AS$5, $AS$2 )</f>
        <v>69.849999999999994</v>
      </c>
      <c r="AT9">
        <f>ROUND( $AT$8 + $AT$5, $AT$2 )</f>
        <v>68.84</v>
      </c>
      <c r="AU9">
        <f>ROUND( $AU$8 + $AU$5, $AU$2 )</f>
        <v>69.88</v>
      </c>
      <c r="AV9">
        <f>ROUND( $AV$8 + $AV$5, $AV$2 )</f>
        <v>70.45</v>
      </c>
      <c r="AW9">
        <f>ROUND( $AW$8 + $AW$5, $AW$2 )</f>
        <v>70.7</v>
      </c>
      <c r="AX9">
        <f>ROUND( $AX$8 + $AX$5, $AX$2 )</f>
        <v>68.87</v>
      </c>
      <c r="AY9">
        <f>ROUND( $AY$8 + $AY$5, $AY$2 )</f>
        <v>72.16</v>
      </c>
      <c r="AZ9">
        <f>ROUND( $AZ$8 + $AZ$5, $AZ$2 )</f>
        <v>73.819999999999993</v>
      </c>
      <c r="BA9">
        <f>ROUND( $BA$8 + $BA$5, $BA$2 )</f>
        <v>70.48</v>
      </c>
      <c r="BB9">
        <f>ROUND( $BB$8 + $BB$5, $BB$2 )</f>
        <v>71.08</v>
      </c>
      <c r="BC9">
        <f>ROUND( $BC$8 + $BC$5, $BC$2 )</f>
        <v>71.709999999999994</v>
      </c>
      <c r="BD9">
        <f>ROUND( $BD$8 + $BD$5, $BD$2 )</f>
        <v>71.430000000000007</v>
      </c>
      <c r="BE9">
        <f>ROUND( $BE$8 + $BE$5, $BE$2 )</f>
        <v>72.06</v>
      </c>
      <c r="BF9">
        <f>ROUND( $BF$8 + $BF$5, $BF$2 )</f>
        <v>71.05</v>
      </c>
      <c r="BG9">
        <f>ROUND( $BG$8 + $BG$5, $BG$2 )</f>
        <v>72.989999999999995</v>
      </c>
      <c r="BH9">
        <f>ROUND( $BH$8 + $BH$5, $BH$2 )</f>
        <v>72</v>
      </c>
      <c r="BI9">
        <f>ROUND( $BI$8 + $BI$5, $BI$2 )</f>
        <v>72.22</v>
      </c>
      <c r="BJ9">
        <f>ROUND( $BJ$8 + $BJ$5, $BJ$2 )</f>
        <v>72.45</v>
      </c>
      <c r="BK9">
        <f>ROUND( $BK$8 + $BK$5, $BK$2 )</f>
        <v>71.91</v>
      </c>
      <c r="BL9">
        <f>ROUND( $BL$8 + $BL$5, $BL$2 )</f>
        <v>72.37</v>
      </c>
      <c r="BM9">
        <f>ROUND( $BM$8 + $BM$5, $BM$2 )</f>
        <v>73.319999999999993</v>
      </c>
      <c r="BN9">
        <f>ROUND( $BN$8 + $BN$5, $BN$2 )</f>
        <v>72.209999999999994</v>
      </c>
      <c r="BO9">
        <f>ROUND( $BO$8 + $BO$5, $BO$2 )</f>
        <v>71.8</v>
      </c>
      <c r="BP9">
        <f>ROUND( $BP$8 + $BP$5, $BP$2 )</f>
        <v>71.61</v>
      </c>
      <c r="BQ9">
        <f>ROUND( $BQ$8 + $BQ$5, $BQ$2 )</f>
        <v>69.650000000000006</v>
      </c>
      <c r="BR9">
        <f>ROUND( $BR$8 + $BR$5, $BR$2 )</f>
        <v>69.489999999999995</v>
      </c>
      <c r="BS9">
        <f>ROUND( $BS$8 + $BS$5, $BS$2 )</f>
        <v>70.239999999999995</v>
      </c>
      <c r="BT9">
        <f>ROUND( $BT$8 + $BT$5, $BT$2 )</f>
        <v>69.489999999999995</v>
      </c>
      <c r="BU9">
        <f>ROUND( $BU$8 + $BU$5, $BU$2 )</f>
        <v>71.52</v>
      </c>
      <c r="BV9">
        <f>ROUND( $BV$8 + $BV$5, $BV$2 )</f>
        <v>70.3</v>
      </c>
      <c r="BW9">
        <f>ROUND( $BW$8 + $BW$5, $BW$2 )</f>
        <v>70.260000000000005</v>
      </c>
      <c r="BX9">
        <f>ROUND( $BX$8 + $BX$5, $BX$2 )</f>
        <v>73.489999999999995</v>
      </c>
      <c r="BY9">
        <f>ROUND( $BY$8 + $BY$5, $BY$2 )</f>
        <v>72.930000000000007</v>
      </c>
      <c r="BZ9">
        <f>ROUND( $BZ$8 + $BZ$5, $BZ$2 )</f>
        <v>72.58</v>
      </c>
      <c r="CA9">
        <f>ROUND( $CA$8 + $CA$5, $CA$2 )</f>
        <v>70.099999999999994</v>
      </c>
      <c r="CB9">
        <f>ROUND( $CB$8 + $CB$5, $CB$2 )</f>
        <v>49.34</v>
      </c>
      <c r="CC9">
        <f>ROUND( $CC$8 + $CC$5, $CC$2 )</f>
        <v>49.34</v>
      </c>
      <c r="CD9">
        <f>ROUND( $CD$8 + $CD$5, $CD$2 )</f>
        <v>75.8</v>
      </c>
      <c r="CE9">
        <f>ROUND( $CE$8 + $CE$5, $CE$2 )</f>
        <v>60</v>
      </c>
      <c r="CF9">
        <f>ROUND( $CF$8 + $CF$5, $CF$2 )</f>
        <v>50</v>
      </c>
      <c r="CG9">
        <f>ROUND( $CG$8 + $CG$5, $CG$2 )</f>
        <v>52</v>
      </c>
      <c r="CH9">
        <f>ROUND( $CH$8 + $CH$5, $CH$2 )</f>
        <v>52</v>
      </c>
      <c r="CI9">
        <f>ROUND( $CI$8 + $CI$5, $CI$2 )</f>
        <v>60</v>
      </c>
    </row>
    <row r="10" spans="1:87" x14ac:dyDescent="0.2">
      <c r="B10">
        <f>ROUND( $B$9 + $B$5, $B$2 )</f>
        <v>74.63</v>
      </c>
      <c r="C10">
        <f>ROUND( $C$9 + $C$5, $C$2 )</f>
        <v>74.78</v>
      </c>
      <c r="D10">
        <f>ROUND( $D$9 + $D$5, $D$2 )</f>
        <v>72.47</v>
      </c>
      <c r="E10">
        <f>ROUND( $E$9 + $E$5, $E$2 )</f>
        <v>74.78</v>
      </c>
      <c r="F10">
        <f>ROUND( $F$9 + $F$5, $F$2 )</f>
        <v>72.819999999999993</v>
      </c>
      <c r="G10">
        <f>ROUND( $G$9 + $G$5, $G$2 )</f>
        <v>74.59</v>
      </c>
      <c r="H10">
        <f>ROUND( $H$9 + $H$5, $H$2 )</f>
        <v>72.55</v>
      </c>
      <c r="I10">
        <f>ROUND( $I$9 + $I$5, $I$2 )</f>
        <v>73.89</v>
      </c>
      <c r="J10">
        <f>ROUND( $J$9 + $J$5, $J$2 )</f>
        <v>74.84</v>
      </c>
      <c r="K10">
        <f>ROUND( $K$9 + $K$5, $K$2 )</f>
        <v>75.41</v>
      </c>
      <c r="L10">
        <f>ROUND( $L$9 + $L$5, $L$2 )</f>
        <v>73.97</v>
      </c>
      <c r="M10">
        <f>ROUND( $M$9 + $M$5, $M$2 )</f>
        <v>74.67</v>
      </c>
      <c r="N10">
        <f>ROUND( $N$9 + $N$5, $N$2 )</f>
        <v>0</v>
      </c>
      <c r="O10">
        <f>ROUND( $O$9 + $O$5, $O$2 )</f>
        <v>0</v>
      </c>
      <c r="P10">
        <f>ROUND( $P$9 + $P$5, $P$2 )</f>
        <v>0</v>
      </c>
      <c r="Q10">
        <f>ROUND( $Q$9 + $Q$5, $Q$2 )</f>
        <v>0</v>
      </c>
      <c r="R10">
        <f>ROUND( $R$9 + $R$5, $R$2 )</f>
        <v>0</v>
      </c>
      <c r="S10">
        <f>ROUND( $S$9 + $S$5, $S$2 )</f>
        <v>0</v>
      </c>
      <c r="T10">
        <f>ROUND( $T$9 + $T$5, $T$2 )</f>
        <v>0</v>
      </c>
      <c r="U10">
        <f>ROUND( $U$9 + $U$5, $U$2 )</f>
        <v>0</v>
      </c>
      <c r="V10">
        <f>ROUND( $V$9 + $V$5, $V$2 )</f>
        <v>0</v>
      </c>
      <c r="W10">
        <f>ROUND( $W$9 + $W$5, $W$2 )</f>
        <v>0</v>
      </c>
      <c r="X10">
        <f>ROUND( $X$9 + $X$5, $X$2 )</f>
        <v>0</v>
      </c>
      <c r="Y10">
        <f>ROUND( $Y$9 + $Y$5, $Y$2 )</f>
        <v>0</v>
      </c>
      <c r="Z10">
        <f>ROUND( $Z$9 + $Z$5, $Z$2 )</f>
        <v>53</v>
      </c>
      <c r="AA10">
        <f>ROUND( $AA$9 + $AA$5, $AA$2 )</f>
        <v>51.5</v>
      </c>
      <c r="AB10">
        <f>ROUND( $AB$9 + $AB$5, $AB$2 )</f>
        <v>53</v>
      </c>
      <c r="AC10">
        <f>ROUND( $AC$9 + $AC$5, $AC$2 )</f>
        <v>74.63</v>
      </c>
      <c r="AD10">
        <f>ROUND( $AD$9 + $AD$5, $AD$2 )</f>
        <v>74.89</v>
      </c>
      <c r="AE10">
        <f>ROUND( $AE$9 + $AE$5, $AE$2 )</f>
        <v>73.849999999999994</v>
      </c>
      <c r="AF10">
        <f>ROUND( $AF$9 + $AF$5, $AF$2 )</f>
        <v>74.3</v>
      </c>
      <c r="AG10">
        <f>ROUND( $AG$9 + $AG$5, $AG$2 )</f>
        <v>74.77</v>
      </c>
      <c r="AH10">
        <f>ROUND( $AH$9 + $AH$5, $AH$2 )</f>
        <v>74.44</v>
      </c>
      <c r="AI10">
        <f>ROUND( $AI$9 + $AI$5, $AI$2 )</f>
        <v>74.08</v>
      </c>
      <c r="AJ10">
        <f>ROUND( $AJ$9 + $AJ$5, $AJ$2 )</f>
        <v>74.069999999999993</v>
      </c>
      <c r="AK10">
        <f>ROUND( $AK$9 + $AK$5, $AK$2 )</f>
        <v>75.400000000000006</v>
      </c>
      <c r="AL10">
        <f>ROUND( $AL$9 + $AL$5, $AL$2 )</f>
        <v>74.92</v>
      </c>
      <c r="AM10">
        <f>ROUND( $AM$9 + $AM$5, $AM$2 )</f>
        <v>75.02</v>
      </c>
      <c r="AN10">
        <f>ROUND( $AN$9 + $AN$5, $AN$2 )</f>
        <v>75.760000000000005</v>
      </c>
      <c r="AO10">
        <f>ROUND( $AO$9 + $AO$5, $AO$2 )</f>
        <v>53</v>
      </c>
      <c r="AP10">
        <f>ROUND( $AP$9 + $AP$5, $AP$2 )</f>
        <v>53</v>
      </c>
      <c r="AQ10">
        <f>ROUND( $AQ$9 + $AQ$5, $AQ$2 )</f>
        <v>53</v>
      </c>
      <c r="AR10">
        <f>ROUND( $AR$9 + $AR$5, $AR$2 )</f>
        <v>73.66</v>
      </c>
      <c r="AS10">
        <f>ROUND( $AS$9 + $AS$5, $AS$2 )</f>
        <v>71.52</v>
      </c>
      <c r="AT10">
        <f>ROUND( $AT$9 + $AT$5, $AT$2 )</f>
        <v>70.63</v>
      </c>
      <c r="AU10">
        <f>ROUND( $AU$9 + $AU$5, $AU$2 )</f>
        <v>71.760000000000005</v>
      </c>
      <c r="AV10">
        <f>ROUND( $AV$9 + $AV$5, $AV$2 )</f>
        <v>72.319999999999993</v>
      </c>
      <c r="AW10">
        <f>ROUND( $AW$9 + $AW$5, $AW$2 )</f>
        <v>72.56</v>
      </c>
      <c r="AX10">
        <f>ROUND( $AX$9 + $AX$5, $AX$2 )</f>
        <v>70.97</v>
      </c>
      <c r="AY10">
        <f>ROUND( $AY$9 + $AY$5, $AY$2 )</f>
        <v>73.88</v>
      </c>
      <c r="AZ10">
        <f>ROUND( $AZ$9 + $AZ$5, $AZ$2 )</f>
        <v>75.099999999999994</v>
      </c>
      <c r="BA10">
        <f>ROUND( $BA$9 + $BA$5, $BA$2 )</f>
        <v>72.58</v>
      </c>
      <c r="BB10">
        <f>ROUND( $BB$9 + $BB$5, $BB$2 )</f>
        <v>72.98</v>
      </c>
      <c r="BC10">
        <f>ROUND( $BC$9 + $BC$5, $BC$2 )</f>
        <v>73.209999999999994</v>
      </c>
      <c r="BD10">
        <f>ROUND( $BD$9 + $BD$5, $BD$2 )</f>
        <v>72.900000000000006</v>
      </c>
      <c r="BE10">
        <f>ROUND( $BE$9 + $BE$5, $BE$2 )</f>
        <v>73.53</v>
      </c>
      <c r="BF10">
        <f>ROUND( $BF$9 + $BF$5, $BF$2 )</f>
        <v>73.180000000000007</v>
      </c>
      <c r="BG10">
        <f>ROUND( $BG$9 + $BG$5, $BG$2 )</f>
        <v>74.540000000000006</v>
      </c>
      <c r="BH10">
        <f>ROUND( $BH$9 + $BH$5, $BH$2 )</f>
        <v>73.61</v>
      </c>
      <c r="BI10">
        <f>ROUND( $BI$9 + $BI$5, $BI$2 )</f>
        <v>73.849999999999994</v>
      </c>
      <c r="BJ10">
        <f>ROUND( $BJ$9 + $BJ$5, $BJ$2 )</f>
        <v>74.41</v>
      </c>
      <c r="BK10">
        <f>ROUND( $BK$9 + $BK$5, $BK$2 )</f>
        <v>73.48</v>
      </c>
      <c r="BL10">
        <f>ROUND( $BL$9 + $BL$5, $BL$2 )</f>
        <v>73.63</v>
      </c>
      <c r="BM10">
        <f>ROUND( $BM$9 + $BM$5, $BM$2 )</f>
        <v>74.56</v>
      </c>
      <c r="BN10">
        <f>ROUND( $BN$9 + $BN$5, $BN$2 )</f>
        <v>73.91</v>
      </c>
      <c r="BO10">
        <f>ROUND( $BO$9 + $BO$5, $BO$2 )</f>
        <v>73.540000000000006</v>
      </c>
      <c r="BP10">
        <f>ROUND( $BP$9 + $BP$5, $BP$2 )</f>
        <v>73.13</v>
      </c>
      <c r="BQ10">
        <f>ROUND( $BQ$9 + $BQ$5, $BQ$2 )</f>
        <v>71.66</v>
      </c>
      <c r="BR10">
        <f>ROUND( $BR$9 + $BR$5, $BR$2 )</f>
        <v>71.31</v>
      </c>
      <c r="BS10">
        <f>ROUND( $BS$9 + $BS$5, $BS$2 )</f>
        <v>71.86</v>
      </c>
      <c r="BT10">
        <f>ROUND( $BT$9 + $BT$5, $BT$2 )</f>
        <v>71.349999999999994</v>
      </c>
      <c r="BU10">
        <f>ROUND( $BU$9 + $BU$5, $BU$2 )</f>
        <v>73.069999999999993</v>
      </c>
      <c r="BV10">
        <f>ROUND( $BV$9 + $BV$5, $BV$2 )</f>
        <v>72.099999999999994</v>
      </c>
      <c r="BW10">
        <f>ROUND( $BW$9 + $BW$5, $BW$2 )</f>
        <v>71.92</v>
      </c>
      <c r="BX10">
        <f>ROUND( $BX$9 + $BX$5, $BX$2 )</f>
        <v>74.88</v>
      </c>
      <c r="BY10">
        <f>ROUND( $BY$9 + $BY$5, $BY$2 )</f>
        <v>74.7</v>
      </c>
      <c r="BZ10">
        <f>ROUND( $BZ$9 + $BZ$5, $BZ$2 )</f>
        <v>73.98</v>
      </c>
      <c r="CA10">
        <f>ROUND( $CA$9 + $CA$5, $CA$2 )</f>
        <v>71.84</v>
      </c>
      <c r="CB10">
        <f>ROUND( $CB$9 + $CB$5, $CB$2 )</f>
        <v>50.68</v>
      </c>
      <c r="CC10">
        <f>ROUND( $CC$9 + $CC$5, $CC$2 )</f>
        <v>50.68</v>
      </c>
      <c r="CD10">
        <f>ROUND( $CD$9 + $CD$5, $CD$2 )</f>
        <v>76.2</v>
      </c>
      <c r="CE10">
        <f>ROUND( $CE$9 + $CE$5, $CE$2 )</f>
        <v>60</v>
      </c>
      <c r="CF10">
        <f>ROUND( $CF$9 + $CF$5, $CF$2 )</f>
        <v>52</v>
      </c>
      <c r="CG10">
        <f>ROUND( $CG$9 + $CG$5, $CG$2 )</f>
        <v>53</v>
      </c>
      <c r="CH10">
        <f>ROUND( $CH$9 + $CH$5, $CH$2 )</f>
        <v>53</v>
      </c>
      <c r="CI10">
        <f>ROUND( $CI$9 + $CI$5, $CI$2 )</f>
        <v>60</v>
      </c>
    </row>
    <row r="11" spans="1:87" x14ac:dyDescent="0.2">
      <c r="B11">
        <f>ROUND( $B$10 + $B$5, $B$2 )</f>
        <v>75.77</v>
      </c>
      <c r="C11">
        <f>ROUND( $C$10 + $C$5, $C$2 )</f>
        <v>75.84</v>
      </c>
      <c r="D11">
        <f>ROUND( $D$10 + $D$5, $D$2 )</f>
        <v>73.91</v>
      </c>
      <c r="E11">
        <f>ROUND( $E$10 + $E$5, $E$2 )</f>
        <v>75.95</v>
      </c>
      <c r="F11">
        <f>ROUND( $F$10 + $F$5, $F$2 )</f>
        <v>74.3</v>
      </c>
      <c r="G11">
        <f>ROUND( $G$10 + $G$5, $G$2 )</f>
        <v>75.64</v>
      </c>
      <c r="H11">
        <f>ROUND( $H$10 + $H$5, $H$2 )</f>
        <v>74.02</v>
      </c>
      <c r="I11">
        <f>ROUND( $I$10 + $I$5, $I$2 )</f>
        <v>75.33</v>
      </c>
      <c r="J11">
        <f>ROUND( $J$10 + $J$5, $J$2 )</f>
        <v>76.010000000000005</v>
      </c>
      <c r="K11">
        <f>ROUND( $K$10 + $K$5, $K$2 )</f>
        <v>76.41</v>
      </c>
      <c r="L11">
        <f>ROUND( $L$10 + $L$5, $L$2 )</f>
        <v>75.319999999999993</v>
      </c>
      <c r="M11">
        <f>ROUND( $M$10 + $M$5, $M$2 )</f>
        <v>76.239999999999995</v>
      </c>
      <c r="N11">
        <f>ROUND( $N$10 + $N$5, $N$2 )</f>
        <v>0</v>
      </c>
      <c r="O11">
        <f>ROUND( $O$10 + $O$5, $O$2 )</f>
        <v>0</v>
      </c>
      <c r="P11">
        <f>ROUND( $P$10 + $P$5, $P$2 )</f>
        <v>0</v>
      </c>
      <c r="Q11">
        <f>ROUND( $Q$10 + $Q$5, $Q$2 )</f>
        <v>0</v>
      </c>
      <c r="R11">
        <f>ROUND( $R$10 + $R$5, $R$2 )</f>
        <v>0</v>
      </c>
      <c r="S11">
        <f>ROUND( $S$10 + $S$5, $S$2 )</f>
        <v>0</v>
      </c>
      <c r="T11">
        <f>ROUND( $T$10 + $T$5, $T$2 )</f>
        <v>0</v>
      </c>
      <c r="U11">
        <f>ROUND( $U$10 + $U$5, $U$2 )</f>
        <v>0</v>
      </c>
      <c r="V11">
        <f>ROUND( $V$10 + $V$5, $V$2 )</f>
        <v>0</v>
      </c>
      <c r="W11">
        <f>ROUND( $W$10 + $W$5, $W$2 )</f>
        <v>0</v>
      </c>
      <c r="X11">
        <f>ROUND( $X$10 + $X$5, $X$2 )</f>
        <v>0</v>
      </c>
      <c r="Y11">
        <f>ROUND( $Y$10 + $Y$5, $Y$2 )</f>
        <v>0</v>
      </c>
      <c r="Z11">
        <f>ROUND( $Z$10 + $Z$5, $Z$2 )</f>
        <v>54</v>
      </c>
      <c r="AA11">
        <f>ROUND( $AA$10 + $AA$5, $AA$2 )</f>
        <v>52</v>
      </c>
      <c r="AB11">
        <f>ROUND( $AB$10 + $AB$5, $AB$2 )</f>
        <v>54</v>
      </c>
      <c r="AC11">
        <f>ROUND( $AC$10 + $AC$5, $AC$2 )</f>
        <v>75.77</v>
      </c>
      <c r="AD11">
        <f>ROUND( $AD$10 + $AD$5, $AD$2 )</f>
        <v>75.67</v>
      </c>
      <c r="AE11">
        <f>ROUND( $AE$10 + $AE$5, $AE$2 )</f>
        <v>74.739999999999995</v>
      </c>
      <c r="AF11">
        <f>ROUND( $AF$10 + $AF$5, $AF$2 )</f>
        <v>75.39</v>
      </c>
      <c r="AG11">
        <f>ROUND( $AG$10 + $AG$5, $AG$2 )</f>
        <v>75.790000000000006</v>
      </c>
      <c r="AH11">
        <f>ROUND( $AH$10 + $AH$5, $AH$2 )</f>
        <v>75.52</v>
      </c>
      <c r="AI11">
        <f>ROUND( $AI$10 + $AI$5, $AI$2 )</f>
        <v>75.12</v>
      </c>
      <c r="AJ11">
        <f>ROUND( $AJ$10 + $AJ$5, $AJ$2 )</f>
        <v>75.22</v>
      </c>
      <c r="AK11">
        <f>ROUND( $AK$10 + $AK$5, $AK$2 )</f>
        <v>76.290000000000006</v>
      </c>
      <c r="AL11">
        <f>ROUND( $AL$10 + $AL$5, $AL$2 )</f>
        <v>75.87</v>
      </c>
      <c r="AM11">
        <f>ROUND( $AM$10 + $AM$5, $AM$2 )</f>
        <v>76</v>
      </c>
      <c r="AN11">
        <f>ROUND( $AN$10 + $AN$5, $AN$2 )</f>
        <v>76.59</v>
      </c>
      <c r="AO11">
        <f>ROUND( $AO$10 + $AO$5, $AO$2 )</f>
        <v>54</v>
      </c>
      <c r="AP11">
        <f>ROUND( $AP$10 + $AP$5, $AP$2 )</f>
        <v>54</v>
      </c>
      <c r="AQ11">
        <f>ROUND( $AQ$10 + $AQ$5, $AQ$2 )</f>
        <v>54</v>
      </c>
      <c r="AR11">
        <f>ROUND( $AR$10 + $AR$5, $AR$2 )</f>
        <v>75.099999999999994</v>
      </c>
      <c r="AS11">
        <f>ROUND( $AS$10 + $AS$5, $AS$2 )</f>
        <v>73.19</v>
      </c>
      <c r="AT11">
        <f>ROUND( $AT$10 + $AT$5, $AT$2 )</f>
        <v>72.42</v>
      </c>
      <c r="AU11">
        <f>ROUND( $AU$10 + $AU$5, $AU$2 )</f>
        <v>73.64</v>
      </c>
      <c r="AV11">
        <f>ROUND( $AV$10 + $AV$5, $AV$2 )</f>
        <v>74.19</v>
      </c>
      <c r="AW11">
        <f>ROUND( $AW$10 + $AW$5, $AW$2 )</f>
        <v>74.42</v>
      </c>
      <c r="AX11">
        <f>ROUND( $AX$10 + $AX$5, $AX$2 )</f>
        <v>73.069999999999993</v>
      </c>
      <c r="AY11">
        <f>ROUND( $AY$10 + $AY$5, $AY$2 )</f>
        <v>75.599999999999994</v>
      </c>
      <c r="AZ11">
        <f>ROUND( $AZ$10 + $AZ$5, $AZ$2 )</f>
        <v>76.38</v>
      </c>
      <c r="BA11">
        <f>ROUND( $BA$10 + $BA$5, $BA$2 )</f>
        <v>74.680000000000007</v>
      </c>
      <c r="BB11">
        <f>ROUND( $BB$10 + $BB$5, $BB$2 )</f>
        <v>74.88</v>
      </c>
      <c r="BC11">
        <f>ROUND( $BC$10 + $BC$5, $BC$2 )</f>
        <v>74.709999999999994</v>
      </c>
      <c r="BD11">
        <f>ROUND( $BD$10 + $BD$5, $BD$2 )</f>
        <v>74.37</v>
      </c>
      <c r="BE11">
        <f>ROUND( $BE$10 + $BE$5, $BE$2 )</f>
        <v>75</v>
      </c>
      <c r="BF11">
        <f>ROUND( $BF$10 + $BF$5, $BF$2 )</f>
        <v>75.31</v>
      </c>
      <c r="BG11">
        <f>ROUND( $BG$10 + $BG$5, $BG$2 )</f>
        <v>76.09</v>
      </c>
      <c r="BH11">
        <f>ROUND( $BH$10 + $BH$5, $BH$2 )</f>
        <v>75.22</v>
      </c>
      <c r="BI11">
        <f>ROUND( $BI$10 + $BI$5, $BI$2 )</f>
        <v>75.48</v>
      </c>
      <c r="BJ11">
        <f>ROUND( $BJ$10 + $BJ$5, $BJ$2 )</f>
        <v>76.37</v>
      </c>
      <c r="BK11">
        <f>ROUND( $BK$10 + $BK$5, $BK$2 )</f>
        <v>75.05</v>
      </c>
      <c r="BL11">
        <f>ROUND( $BL$10 + $BL$5, $BL$2 )</f>
        <v>74.89</v>
      </c>
      <c r="BM11">
        <f>ROUND( $BM$10 + $BM$5, $BM$2 )</f>
        <v>75.8</v>
      </c>
      <c r="BN11">
        <f>ROUND( $BN$10 + $BN$5, $BN$2 )</f>
        <v>75.61</v>
      </c>
      <c r="BO11">
        <f>ROUND( $BO$10 + $BO$5, $BO$2 )</f>
        <v>75.28</v>
      </c>
      <c r="BP11">
        <f>ROUND( $BP$10 + $BP$5, $BP$2 )</f>
        <v>74.650000000000006</v>
      </c>
      <c r="BQ11">
        <f>ROUND( $BQ$10 + $BQ$5, $BQ$2 )</f>
        <v>73.67</v>
      </c>
      <c r="BR11">
        <f>ROUND( $BR$10 + $BR$5, $BR$2 )</f>
        <v>73.13</v>
      </c>
      <c r="BS11">
        <f>ROUND( $BS$10 + $BS$5, $BS$2 )</f>
        <v>73.48</v>
      </c>
      <c r="BT11">
        <f>ROUND( $BT$10 + $BT$5, $BT$2 )</f>
        <v>73.209999999999994</v>
      </c>
      <c r="BU11">
        <f>ROUND( $BU$10 + $BU$5, $BU$2 )</f>
        <v>74.62</v>
      </c>
      <c r="BV11">
        <f>ROUND( $BV$10 + $BV$5, $BV$2 )</f>
        <v>73.900000000000006</v>
      </c>
      <c r="BW11">
        <f>ROUND( $BW$10 + $BW$5, $BW$2 )</f>
        <v>73.58</v>
      </c>
      <c r="BX11">
        <f>ROUND( $BX$10 + $BX$5, $BX$2 )</f>
        <v>76.27</v>
      </c>
      <c r="BY11">
        <f>ROUND( $BY$10 + $BY$5, $BY$2 )</f>
        <v>76.47</v>
      </c>
      <c r="BZ11">
        <f>ROUND( $BZ$10 + $BZ$5, $BZ$2 )</f>
        <v>75.38</v>
      </c>
      <c r="CA11">
        <f>ROUND( $CA$10 + $CA$5, $CA$2 )</f>
        <v>73.58</v>
      </c>
      <c r="CB11">
        <f>ROUND( $CB$10 + $CB$5, $CB$2 )</f>
        <v>52.02</v>
      </c>
      <c r="CC11">
        <f>ROUND( $CC$10 + $CC$5, $CC$2 )</f>
        <v>52.02</v>
      </c>
      <c r="CD11">
        <f>ROUND( $CD$10 + $CD$5, $CD$2 )</f>
        <v>76.599999999999994</v>
      </c>
      <c r="CE11">
        <f>ROUND( $CE$10 + $CE$5, $CE$2 )</f>
        <v>60</v>
      </c>
      <c r="CF11">
        <f>ROUND( $CF$10 + $CF$5, $CF$2 )</f>
        <v>54</v>
      </c>
      <c r="CG11">
        <f>ROUND( $CG$10 + $CG$5, $CG$2 )</f>
        <v>54</v>
      </c>
      <c r="CH11">
        <f>ROUND( $CH$10 + $CH$5, $CH$2 )</f>
        <v>54</v>
      </c>
      <c r="CI11">
        <f>ROUND( $CI$10 + $CI$5, $CI$2 )</f>
        <v>60</v>
      </c>
    </row>
    <row r="12" spans="1:87" x14ac:dyDescent="0.2">
      <c r="B12">
        <f>ROUND( $B$11 + $B$5, $B$2 )</f>
        <v>76.91</v>
      </c>
      <c r="C12">
        <f>ROUND( $C$11 + $C$5, $C$2 )</f>
        <v>76.900000000000006</v>
      </c>
      <c r="D12">
        <f>ROUND( $D$11 + $D$5, $D$2 )</f>
        <v>75.349999999999994</v>
      </c>
      <c r="E12">
        <f>ROUND( $E$11 + $E$5, $E$2 )</f>
        <v>77.12</v>
      </c>
      <c r="F12">
        <f>ROUND( $F$11 + $F$5, $F$2 )</f>
        <v>75.78</v>
      </c>
      <c r="G12">
        <f>ROUND( $G$11 + $G$5, $G$2 )</f>
        <v>76.69</v>
      </c>
      <c r="H12">
        <f>ROUND( $H$11 + $H$5, $H$2 )</f>
        <v>75.489999999999995</v>
      </c>
      <c r="I12">
        <f>ROUND( $I$11 + $I$5, $I$2 )</f>
        <v>76.77</v>
      </c>
      <c r="J12">
        <f>ROUND( $J$11 + $J$5, $J$2 )</f>
        <v>77.180000000000007</v>
      </c>
      <c r="K12">
        <f>ROUND( $K$11 + $K$5, $K$2 )</f>
        <v>77.41</v>
      </c>
      <c r="L12">
        <f>ROUND( $L$11 + $L$5, $L$2 )</f>
        <v>76.67</v>
      </c>
      <c r="M12">
        <f>ROUND( $M$11 + $M$5, $M$2 )</f>
        <v>77.81</v>
      </c>
      <c r="N12">
        <f>ROUND( $N$11 + $N$5, $N$2 )</f>
        <v>0</v>
      </c>
      <c r="O12">
        <f>ROUND( $O$11 + $O$5, $O$2 )</f>
        <v>0</v>
      </c>
      <c r="P12">
        <f>ROUND( $P$11 + $P$5, $P$2 )</f>
        <v>0</v>
      </c>
      <c r="Q12">
        <f>ROUND( $Q$11 + $Q$5, $Q$2 )</f>
        <v>0</v>
      </c>
      <c r="R12">
        <f>ROUND( $R$11 + $R$5, $R$2 )</f>
        <v>0</v>
      </c>
      <c r="S12">
        <f>ROUND( $S$11 + $S$5, $S$2 )</f>
        <v>0</v>
      </c>
      <c r="T12">
        <f>ROUND( $T$11 + $T$5, $T$2 )</f>
        <v>0</v>
      </c>
      <c r="U12">
        <f>ROUND( $U$11 + $U$5, $U$2 )</f>
        <v>0</v>
      </c>
      <c r="V12">
        <f>ROUND( $V$11 + $V$5, $V$2 )</f>
        <v>0</v>
      </c>
      <c r="W12">
        <f>ROUND( $W$11 + $W$5, $W$2 )</f>
        <v>0</v>
      </c>
      <c r="X12">
        <f>ROUND( $X$11 + $X$5, $X$2 )</f>
        <v>0</v>
      </c>
      <c r="Y12">
        <f>ROUND( $Y$11 + $Y$5, $Y$2 )</f>
        <v>0</v>
      </c>
      <c r="Z12">
        <f>ROUND( $Z$11 + $Z$5, $Z$2 )</f>
        <v>55</v>
      </c>
      <c r="AA12">
        <f>ROUND( $AA$11 + $AA$5, $AA$2 )</f>
        <v>52.5</v>
      </c>
      <c r="AB12">
        <f>ROUND( $AB$11 + $AB$5, $AB$2 )</f>
        <v>55</v>
      </c>
      <c r="AC12">
        <f>ROUND( $AC$11 + $AC$5, $AC$2 )</f>
        <v>76.91</v>
      </c>
      <c r="AD12">
        <f>ROUND( $AD$11 + $AD$5, $AD$2 )</f>
        <v>76.45</v>
      </c>
      <c r="AE12">
        <f>ROUND( $AE$11 + $AE$5, $AE$2 )</f>
        <v>75.63</v>
      </c>
      <c r="AF12">
        <f>ROUND( $AF$11 + $AF$5, $AF$2 )</f>
        <v>76.48</v>
      </c>
      <c r="AG12">
        <f>ROUND( $AG$11 + $AG$5, $AG$2 )</f>
        <v>76.81</v>
      </c>
      <c r="AH12">
        <f>ROUND( $AH$11 + $AH$5, $AH$2 )</f>
        <v>76.599999999999994</v>
      </c>
      <c r="AI12">
        <f>ROUND( $AI$11 + $AI$5, $AI$2 )</f>
        <v>76.16</v>
      </c>
      <c r="AJ12">
        <f>ROUND( $AJ$11 + $AJ$5, $AJ$2 )</f>
        <v>76.37</v>
      </c>
      <c r="AK12">
        <f>ROUND( $AK$11 + $AK$5, $AK$2 )</f>
        <v>77.180000000000007</v>
      </c>
      <c r="AL12">
        <f>ROUND( $AL$11 + $AL$5, $AL$2 )</f>
        <v>76.819999999999993</v>
      </c>
      <c r="AM12">
        <f>ROUND( $AM$11 + $AM$5, $AM$2 )</f>
        <v>76.98</v>
      </c>
      <c r="AN12">
        <f>ROUND( $AN$11 + $AN$5, $AN$2 )</f>
        <v>77.42</v>
      </c>
      <c r="AO12">
        <f>ROUND( $AO$11 + $AO$5, $AO$2 )</f>
        <v>55</v>
      </c>
      <c r="AP12">
        <f>ROUND( $AP$11 + $AP$5, $AP$2 )</f>
        <v>55</v>
      </c>
      <c r="AQ12">
        <f>ROUND( $AQ$11 + $AQ$5, $AQ$2 )</f>
        <v>55</v>
      </c>
      <c r="AR12">
        <f>ROUND( $AR$11 + $AR$5, $AR$2 )</f>
        <v>76.540000000000006</v>
      </c>
      <c r="AS12">
        <f>ROUND( $AS$11 + $AS$5, $AS$2 )</f>
        <v>74.86</v>
      </c>
      <c r="AT12">
        <f>ROUND( $AT$11 + $AT$5, $AT$2 )</f>
        <v>74.209999999999994</v>
      </c>
      <c r="AU12">
        <f>ROUND( $AU$11 + $AU$5, $AU$2 )</f>
        <v>75.52</v>
      </c>
      <c r="AV12">
        <f>ROUND( $AV$11 + $AV$5, $AV$2 )</f>
        <v>76.06</v>
      </c>
      <c r="AW12">
        <f>ROUND( $AW$11 + $AW$5, $AW$2 )</f>
        <v>76.28</v>
      </c>
      <c r="AX12">
        <f>ROUND( $AX$11 + $AX$5, $AX$2 )</f>
        <v>75.17</v>
      </c>
      <c r="AY12">
        <f>ROUND( $AY$11 + $AY$5, $AY$2 )</f>
        <v>77.319999999999993</v>
      </c>
      <c r="AZ12">
        <f>ROUND( $AZ$11 + $AZ$5, $AZ$2 )</f>
        <v>77.66</v>
      </c>
      <c r="BA12">
        <f>ROUND( $BA$11 + $BA$5, $BA$2 )</f>
        <v>76.78</v>
      </c>
      <c r="BB12">
        <f>ROUND( $BB$11 + $BB$5, $BB$2 )</f>
        <v>76.78</v>
      </c>
      <c r="BC12">
        <f>ROUND( $BC$11 + $BC$5, $BC$2 )</f>
        <v>76.209999999999994</v>
      </c>
      <c r="BD12">
        <f>ROUND( $BD$11 + $BD$5, $BD$2 )</f>
        <v>75.84</v>
      </c>
      <c r="BE12">
        <f>ROUND( $BE$11 + $BE$5, $BE$2 )</f>
        <v>76.47</v>
      </c>
      <c r="BF12">
        <f>ROUND( $BF$11 + $BF$5, $BF$2 )</f>
        <v>77.44</v>
      </c>
      <c r="BG12">
        <f>ROUND( $BG$11 + $BG$5, $BG$2 )</f>
        <v>77.64</v>
      </c>
      <c r="BH12">
        <f>ROUND( $BH$11 + $BH$5, $BH$2 )</f>
        <v>76.83</v>
      </c>
      <c r="BI12">
        <f>ROUND( $BI$11 + $BI$5, $BI$2 )</f>
        <v>77.11</v>
      </c>
      <c r="BJ12">
        <f>ROUND( $BJ$11 + $BJ$5, $BJ$2 )</f>
        <v>78.33</v>
      </c>
      <c r="BK12">
        <f>ROUND( $BK$11 + $BK$5, $BK$2 )</f>
        <v>76.62</v>
      </c>
      <c r="BL12">
        <f>ROUND( $BL$11 + $BL$5, $BL$2 )</f>
        <v>76.150000000000006</v>
      </c>
      <c r="BM12">
        <f>ROUND( $BM$11 + $BM$5, $BM$2 )</f>
        <v>77.040000000000006</v>
      </c>
      <c r="BN12">
        <f>ROUND( $BN$11 + $BN$5, $BN$2 )</f>
        <v>77.31</v>
      </c>
      <c r="BO12">
        <f>ROUND( $BO$11 + $BO$5, $BO$2 )</f>
        <v>77.02</v>
      </c>
      <c r="BP12">
        <f>ROUND( $BP$11 + $BP$5, $BP$2 )</f>
        <v>76.17</v>
      </c>
      <c r="BQ12">
        <f>ROUND( $BQ$11 + $BQ$5, $BQ$2 )</f>
        <v>75.680000000000007</v>
      </c>
      <c r="BR12">
        <f>ROUND( $BR$11 + $BR$5, $BR$2 )</f>
        <v>74.95</v>
      </c>
      <c r="BS12">
        <f>ROUND( $BS$11 + $BS$5, $BS$2 )</f>
        <v>75.099999999999994</v>
      </c>
      <c r="BT12">
        <f>ROUND( $BT$11 + $BT$5, $BT$2 )</f>
        <v>75.069999999999993</v>
      </c>
      <c r="BU12">
        <f>ROUND( $BU$11 + $BU$5, $BU$2 )</f>
        <v>76.17</v>
      </c>
      <c r="BV12">
        <f>ROUND( $BV$11 + $BV$5, $BV$2 )</f>
        <v>75.7</v>
      </c>
      <c r="BW12">
        <f>ROUND( $BW$11 + $BW$5, $BW$2 )</f>
        <v>75.239999999999995</v>
      </c>
      <c r="BX12">
        <f>ROUND( $BX$11 + $BX$5, $BX$2 )</f>
        <v>77.66</v>
      </c>
      <c r="BY12">
        <f>ROUND( $BY$11 + $BY$5, $BY$2 )</f>
        <v>78.239999999999995</v>
      </c>
      <c r="BZ12">
        <f>ROUND( $BZ$11 + $BZ$5, $BZ$2 )</f>
        <v>76.78</v>
      </c>
      <c r="CA12">
        <f>ROUND( $CA$11 + $CA$5, $CA$2 )</f>
        <v>75.319999999999993</v>
      </c>
      <c r="CB12">
        <f>ROUND( $CB$11 + $CB$5, $CB$2 )</f>
        <v>53.36</v>
      </c>
      <c r="CC12">
        <f>ROUND( $CC$11 + $CC$5, $CC$2 )</f>
        <v>53.36</v>
      </c>
      <c r="CD12">
        <f>ROUND( $CD$11 + $CD$5, $CD$2 )</f>
        <v>77</v>
      </c>
      <c r="CE12">
        <f>ROUND( $CE$11 + $CE$5, $CE$2 )</f>
        <v>60</v>
      </c>
      <c r="CF12">
        <f>ROUND( $CF$11 + $CF$5, $CF$2 )</f>
        <v>56</v>
      </c>
      <c r="CG12">
        <f>ROUND( $CG$11 + $CG$5, $CG$2 )</f>
        <v>55</v>
      </c>
      <c r="CH12">
        <f>ROUND( $CH$11 + $CH$5, $CH$2 )</f>
        <v>55</v>
      </c>
      <c r="CI12">
        <f>ROUND( $CI$11 + $CI$5, $CI$2 )</f>
        <v>60</v>
      </c>
    </row>
    <row r="13" spans="1:87" x14ac:dyDescent="0.2">
      <c r="B13">
        <f>ROUND( $B$12 + $B$5, $B$2 )</f>
        <v>78.05</v>
      </c>
      <c r="C13">
        <f>ROUND( $C$12 + $C$5, $C$2 )</f>
        <v>77.959999999999994</v>
      </c>
      <c r="D13">
        <f>ROUND( $D$12 + $D$5, $D$2 )</f>
        <v>76.790000000000006</v>
      </c>
      <c r="E13">
        <f>ROUND( $E$12 + $E$5, $E$2 )</f>
        <v>78.290000000000006</v>
      </c>
      <c r="F13">
        <f>ROUND( $F$12 + $F$5, $F$2 )</f>
        <v>77.260000000000005</v>
      </c>
      <c r="G13">
        <f>ROUND( $G$12 + $G$5, $G$2 )</f>
        <v>77.739999999999995</v>
      </c>
      <c r="H13">
        <f>ROUND( $H$12 + $H$5, $H$2 )</f>
        <v>76.959999999999994</v>
      </c>
      <c r="I13">
        <f>ROUND( $I$12 + $I$5, $I$2 )</f>
        <v>78.209999999999994</v>
      </c>
      <c r="J13">
        <f>ROUND( $J$12 + $J$5, $J$2 )</f>
        <v>78.349999999999994</v>
      </c>
      <c r="K13">
        <f>ROUND( $K$12 + $K$5, $K$2 )</f>
        <v>78.41</v>
      </c>
      <c r="L13">
        <f>ROUND( $L$12 + $L$5, $L$2 )</f>
        <v>78.02</v>
      </c>
      <c r="M13">
        <f>ROUND( $M$12 + $M$5, $M$2 )</f>
        <v>79.38</v>
      </c>
      <c r="N13">
        <f>ROUND( $N$12 + $N$5, $N$2 )</f>
        <v>0</v>
      </c>
      <c r="O13">
        <f>ROUND( $O$12 + $O$5, $O$2 )</f>
        <v>0</v>
      </c>
      <c r="P13">
        <f>ROUND( $P$12 + $P$5, $P$2 )</f>
        <v>0</v>
      </c>
      <c r="Q13">
        <f>ROUND( $Q$12 + $Q$5, $Q$2 )</f>
        <v>0</v>
      </c>
      <c r="R13">
        <f>ROUND( $R$12 + $R$5, $R$2 )</f>
        <v>0</v>
      </c>
      <c r="S13">
        <f>ROUND( $S$12 + $S$5, $S$2 )</f>
        <v>0</v>
      </c>
      <c r="T13">
        <f>ROUND( $T$12 + $T$5, $T$2 )</f>
        <v>0</v>
      </c>
      <c r="U13">
        <f>ROUND( $U$12 + $U$5, $U$2 )</f>
        <v>0</v>
      </c>
      <c r="V13">
        <f>ROUND( $V$12 + $V$5, $V$2 )</f>
        <v>0</v>
      </c>
      <c r="W13">
        <f>ROUND( $W$12 + $W$5, $W$2 )</f>
        <v>0</v>
      </c>
      <c r="X13">
        <f>ROUND( $X$12 + $X$5, $X$2 )</f>
        <v>0</v>
      </c>
      <c r="Y13">
        <f>ROUND( $Y$12 + $Y$5, $Y$2 )</f>
        <v>0</v>
      </c>
      <c r="Z13">
        <f>ROUND( $Z$12 + $Z$5, $Z$2 )</f>
        <v>56</v>
      </c>
      <c r="AA13">
        <f>ROUND( $AA$12 + $AA$5, $AA$2 )</f>
        <v>53</v>
      </c>
      <c r="AB13">
        <f>ROUND( $AB$12 + $AB$5, $AB$2 )</f>
        <v>56</v>
      </c>
      <c r="AC13">
        <f>ROUND( $AC$12 + $AC$5, $AC$2 )</f>
        <v>78.05</v>
      </c>
      <c r="AD13">
        <f>ROUND( $AD$12 + $AD$5, $AD$2 )</f>
        <v>77.23</v>
      </c>
      <c r="AE13">
        <f>ROUND( $AE$12 + $AE$5, $AE$2 )</f>
        <v>76.52</v>
      </c>
      <c r="AF13">
        <f>ROUND( $AF$12 + $AF$5, $AF$2 )</f>
        <v>77.569999999999993</v>
      </c>
      <c r="AG13">
        <f>ROUND( $AG$12 + $AG$5, $AG$2 )</f>
        <v>77.83</v>
      </c>
      <c r="AH13">
        <f>ROUND( $AH$12 + $AH$5, $AH$2 )</f>
        <v>77.680000000000007</v>
      </c>
      <c r="AI13">
        <f>ROUND( $AI$12 + $AI$5, $AI$2 )</f>
        <v>77.2</v>
      </c>
      <c r="AJ13">
        <f>ROUND( $AJ$12 + $AJ$5, $AJ$2 )</f>
        <v>77.52</v>
      </c>
      <c r="AK13">
        <f>ROUND( $AK$12 + $AK$5, $AK$2 )</f>
        <v>78.069999999999993</v>
      </c>
      <c r="AL13">
        <f>ROUND( $AL$12 + $AL$5, $AL$2 )</f>
        <v>77.77</v>
      </c>
      <c r="AM13">
        <f>ROUND( $AM$12 + $AM$5, $AM$2 )</f>
        <v>77.959999999999994</v>
      </c>
      <c r="AN13">
        <f>ROUND( $AN$12 + $AN$5, $AN$2 )</f>
        <v>78.25</v>
      </c>
      <c r="AO13">
        <f>ROUND( $AO$12 + $AO$5, $AO$2 )</f>
        <v>56</v>
      </c>
      <c r="AP13">
        <f>ROUND( $AP$12 + $AP$5, $AP$2 )</f>
        <v>56</v>
      </c>
      <c r="AQ13">
        <f>ROUND( $AQ$12 + $AQ$5, $AQ$2 )</f>
        <v>56</v>
      </c>
      <c r="AR13">
        <f>ROUND( $AR$12 + $AR$5, $AR$2 )</f>
        <v>77.98</v>
      </c>
      <c r="AS13">
        <f>ROUND( $AS$12 + $AS$5, $AS$2 )</f>
        <v>76.53</v>
      </c>
      <c r="AT13">
        <f>ROUND( $AT$12 + $AT$5, $AT$2 )</f>
        <v>76</v>
      </c>
      <c r="AU13">
        <f>ROUND( $AU$12 + $AU$5, $AU$2 )</f>
        <v>77.400000000000006</v>
      </c>
      <c r="AV13">
        <f>ROUND( $AV$12 + $AV$5, $AV$2 )</f>
        <v>77.930000000000007</v>
      </c>
      <c r="AW13">
        <f>ROUND( $AW$12 + $AW$5, $AW$2 )</f>
        <v>78.14</v>
      </c>
      <c r="AX13">
        <f>ROUND( $AX$12 + $AX$5, $AX$2 )</f>
        <v>77.27</v>
      </c>
      <c r="AY13">
        <f>ROUND( $AY$12 + $AY$5, $AY$2 )</f>
        <v>79.040000000000006</v>
      </c>
      <c r="AZ13">
        <f>ROUND( $AZ$12 + $AZ$5, $AZ$2 )</f>
        <v>78.94</v>
      </c>
      <c r="BA13">
        <f>ROUND( $BA$12 + $BA$5, $BA$2 )</f>
        <v>78.88</v>
      </c>
      <c r="BB13">
        <f>ROUND( $BB$12 + $BB$5, $BB$2 )</f>
        <v>78.680000000000007</v>
      </c>
      <c r="BC13">
        <f>ROUND( $BC$12 + $BC$5, $BC$2 )</f>
        <v>77.709999999999994</v>
      </c>
      <c r="BD13">
        <f>ROUND( $BD$12 + $BD$5, $BD$2 )</f>
        <v>77.31</v>
      </c>
      <c r="BE13">
        <f>ROUND( $BE$12 + $BE$5, $BE$2 )</f>
        <v>77.94</v>
      </c>
      <c r="BF13">
        <f>ROUND( $BF$12 + $BF$5, $BF$2 )</f>
        <v>79.569999999999993</v>
      </c>
      <c r="BG13">
        <f>ROUND( $BG$12 + $BG$5, $BG$2 )</f>
        <v>79.19</v>
      </c>
      <c r="BH13">
        <f>ROUND( $BH$12 + $BH$5, $BH$2 )</f>
        <v>78.44</v>
      </c>
      <c r="BI13">
        <f>ROUND( $BI$12 + $BI$5, $BI$2 )</f>
        <v>78.739999999999995</v>
      </c>
      <c r="BJ13">
        <f>ROUND( $BJ$12 + $BJ$5, $BJ$2 )</f>
        <v>80.290000000000006</v>
      </c>
      <c r="BK13">
        <f>ROUND( $BK$12 + $BK$5, $BK$2 )</f>
        <v>78.19</v>
      </c>
      <c r="BL13">
        <f>ROUND( $BL$12 + $BL$5, $BL$2 )</f>
        <v>77.41</v>
      </c>
      <c r="BM13">
        <f>ROUND( $BM$12 + $BM$5, $BM$2 )</f>
        <v>78.28</v>
      </c>
      <c r="BN13">
        <f>ROUND( $BN$12 + $BN$5, $BN$2 )</f>
        <v>79.010000000000005</v>
      </c>
      <c r="BO13">
        <f>ROUND( $BO$12 + $BO$5, $BO$2 )</f>
        <v>78.760000000000005</v>
      </c>
      <c r="BP13">
        <f>ROUND( $BP$12 + $BP$5, $BP$2 )</f>
        <v>77.69</v>
      </c>
      <c r="BQ13">
        <f>ROUND( $BQ$12 + $BQ$5, $BQ$2 )</f>
        <v>77.69</v>
      </c>
      <c r="BR13">
        <f>ROUND( $BR$12 + $BR$5, $BR$2 )</f>
        <v>76.77</v>
      </c>
      <c r="BS13">
        <f>ROUND( $BS$12 + $BS$5, $BS$2 )</f>
        <v>76.72</v>
      </c>
      <c r="BT13">
        <f>ROUND( $BT$12 + $BT$5, $BT$2 )</f>
        <v>76.930000000000007</v>
      </c>
      <c r="BU13">
        <f>ROUND( $BU$12 + $BU$5, $BU$2 )</f>
        <v>77.72</v>
      </c>
      <c r="BV13">
        <f>ROUND( $BV$12 + $BV$5, $BV$2 )</f>
        <v>77.5</v>
      </c>
      <c r="BW13">
        <f>ROUND( $BW$12 + $BW$5, $BW$2 )</f>
        <v>76.900000000000006</v>
      </c>
      <c r="BX13">
        <f>ROUND( $BX$12 + $BX$5, $BX$2 )</f>
        <v>79.05</v>
      </c>
      <c r="BY13">
        <f>ROUND( $BY$12 + $BY$5, $BY$2 )</f>
        <v>80.010000000000005</v>
      </c>
      <c r="BZ13">
        <f>ROUND( $BZ$12 + $BZ$5, $BZ$2 )</f>
        <v>78.180000000000007</v>
      </c>
      <c r="CA13">
        <f>ROUND( $CA$12 + $CA$5, $CA$2 )</f>
        <v>77.06</v>
      </c>
      <c r="CB13">
        <f>ROUND( $CB$12 + $CB$5, $CB$2 )</f>
        <v>54.7</v>
      </c>
      <c r="CC13">
        <f>ROUND( $CC$12 + $CC$5, $CC$2 )</f>
        <v>54.7</v>
      </c>
      <c r="CD13">
        <f>ROUND( $CD$12 + $CD$5, $CD$2 )</f>
        <v>77.400000000000006</v>
      </c>
      <c r="CE13">
        <f>ROUND( $CE$12 + $CE$5, $CE$2 )</f>
        <v>60</v>
      </c>
      <c r="CF13">
        <f>ROUND( $CF$12 + $CF$5, $CF$2 )</f>
        <v>58</v>
      </c>
      <c r="CG13">
        <f>ROUND( $CG$12 + $CG$5, $CG$2 )</f>
        <v>56</v>
      </c>
      <c r="CH13">
        <f>ROUND( $CH$12 + $CH$5, $CH$2 )</f>
        <v>56</v>
      </c>
      <c r="CI13">
        <f>ROUND( $CI$12 + $CI$5, $CI$2 )</f>
        <v>60</v>
      </c>
    </row>
    <row r="14" spans="1:87" x14ac:dyDescent="0.2">
      <c r="B14">
        <f>ROUND( $B$13 + $B$5, $B$2 )</f>
        <v>79.19</v>
      </c>
      <c r="C14">
        <f>ROUND( $C$13 + $C$5, $C$2 )</f>
        <v>79.02</v>
      </c>
      <c r="D14">
        <f>ROUND( $D$13 + $D$5, $D$2 )</f>
        <v>78.23</v>
      </c>
      <c r="E14">
        <f>ROUND( $E$13 + $E$5, $E$2 )</f>
        <v>79.459999999999994</v>
      </c>
      <c r="F14">
        <f>ROUND( $F$13 + $F$5, $F$2 )</f>
        <v>78.739999999999995</v>
      </c>
      <c r="G14">
        <f>ROUND( $G$13 + $G$5, $G$2 )</f>
        <v>78.790000000000006</v>
      </c>
      <c r="H14">
        <f>ROUND( $H$13 + $H$5, $H$2 )</f>
        <v>78.430000000000007</v>
      </c>
      <c r="I14">
        <f>ROUND( $I$13 + $I$5, $I$2 )</f>
        <v>79.650000000000006</v>
      </c>
      <c r="J14">
        <f>ROUND( $J$13 + $J$5, $J$2 )</f>
        <v>79.52</v>
      </c>
      <c r="K14">
        <f>ROUND( $K$13 + $K$5, $K$2 )</f>
        <v>79.41</v>
      </c>
      <c r="L14">
        <f>ROUND( $L$13 + $L$5, $L$2 )</f>
        <v>79.37</v>
      </c>
      <c r="M14">
        <f>ROUND( $M$13 + $M$5, $M$2 )</f>
        <v>80.95</v>
      </c>
      <c r="N14">
        <f>ROUND( $N$13 + $N$5, $N$2 )</f>
        <v>0</v>
      </c>
      <c r="O14">
        <f>ROUND( $O$13 + $O$5, $O$2 )</f>
        <v>0</v>
      </c>
      <c r="P14">
        <f>ROUND( $P$13 + $P$5, $P$2 )</f>
        <v>0</v>
      </c>
      <c r="Q14">
        <f>ROUND( $Q$13 + $Q$5, $Q$2 )</f>
        <v>0</v>
      </c>
      <c r="R14">
        <f>ROUND( $R$13 + $R$5, $R$2 )</f>
        <v>0</v>
      </c>
      <c r="S14">
        <f>ROUND( $S$13 + $S$5, $S$2 )</f>
        <v>0</v>
      </c>
      <c r="T14">
        <f>ROUND( $T$13 + $T$5, $T$2 )</f>
        <v>0</v>
      </c>
      <c r="U14">
        <f>ROUND( $U$13 + $U$5, $U$2 )</f>
        <v>0</v>
      </c>
      <c r="V14">
        <f>ROUND( $V$13 + $V$5, $V$2 )</f>
        <v>0</v>
      </c>
      <c r="W14">
        <f>ROUND( $W$13 + $W$5, $W$2 )</f>
        <v>0</v>
      </c>
      <c r="X14">
        <f>ROUND( $X$13 + $X$5, $X$2 )</f>
        <v>0</v>
      </c>
      <c r="Y14">
        <f>ROUND( $Y$13 + $Y$5, $Y$2 )</f>
        <v>0</v>
      </c>
      <c r="Z14">
        <f>ROUND( $Z$13 + $Z$5, $Z$2 )</f>
        <v>57</v>
      </c>
      <c r="AA14">
        <f>ROUND( $AA$13 + $AA$5, $AA$2 )</f>
        <v>53.5</v>
      </c>
      <c r="AB14">
        <f>ROUND( $AB$13 + $AB$5, $AB$2 )</f>
        <v>57</v>
      </c>
      <c r="AC14">
        <f>ROUND( $AC$13 + $AC$5, $AC$2 )</f>
        <v>79.19</v>
      </c>
      <c r="AD14">
        <f>ROUND( $AD$13 + $AD$5, $AD$2 )</f>
        <v>78.010000000000005</v>
      </c>
      <c r="AE14">
        <f>ROUND( $AE$13 + $AE$5, $AE$2 )</f>
        <v>77.41</v>
      </c>
      <c r="AF14">
        <f>ROUND( $AF$13 + $AF$5, $AF$2 )</f>
        <v>78.66</v>
      </c>
      <c r="AG14">
        <f>ROUND( $AG$13 + $AG$5, $AG$2 )</f>
        <v>78.849999999999994</v>
      </c>
      <c r="AH14">
        <f>ROUND( $AH$13 + $AH$5, $AH$2 )</f>
        <v>78.760000000000005</v>
      </c>
      <c r="AI14">
        <f>ROUND( $AI$13 + $AI$5, $AI$2 )</f>
        <v>78.239999999999995</v>
      </c>
      <c r="AJ14">
        <f>ROUND( $AJ$13 + $AJ$5, $AJ$2 )</f>
        <v>78.67</v>
      </c>
      <c r="AK14">
        <f>ROUND( $AK$13 + $AK$5, $AK$2 )</f>
        <v>78.959999999999994</v>
      </c>
      <c r="AL14">
        <f>ROUND( $AL$13 + $AL$5, $AL$2 )</f>
        <v>78.72</v>
      </c>
      <c r="AM14">
        <f>ROUND( $AM$13 + $AM$5, $AM$2 )</f>
        <v>78.94</v>
      </c>
      <c r="AN14">
        <f>ROUND( $AN$13 + $AN$5, $AN$2 )</f>
        <v>79.08</v>
      </c>
      <c r="AO14">
        <f>ROUND( $AO$13 + $AO$5, $AO$2 )</f>
        <v>57</v>
      </c>
      <c r="AP14">
        <f>ROUND( $AP$13 + $AP$5, $AP$2 )</f>
        <v>57</v>
      </c>
      <c r="AQ14">
        <f>ROUND( $AQ$13 + $AQ$5, $AQ$2 )</f>
        <v>57</v>
      </c>
      <c r="AR14">
        <f>ROUND( $AR$13 + $AR$5, $AR$2 )</f>
        <v>79.42</v>
      </c>
      <c r="AS14">
        <f>ROUND( $AS$13 + $AS$5, $AS$2 )</f>
        <v>78.2</v>
      </c>
      <c r="AT14">
        <f>ROUND( $AT$13 + $AT$5, $AT$2 )</f>
        <v>77.790000000000006</v>
      </c>
      <c r="AU14">
        <f>ROUND( $AU$13 + $AU$5, $AU$2 )</f>
        <v>79.28</v>
      </c>
      <c r="AV14">
        <f>ROUND( $AV$13 + $AV$5, $AV$2 )</f>
        <v>79.8</v>
      </c>
      <c r="AW14">
        <f>ROUND( $AW$13 + $AW$5, $AW$2 )</f>
        <v>80</v>
      </c>
      <c r="AX14">
        <f>ROUND( $AX$13 + $AX$5, $AX$2 )</f>
        <v>79.37</v>
      </c>
      <c r="AY14">
        <f>ROUND( $AY$13 + $AY$5, $AY$2 )</f>
        <v>80.760000000000005</v>
      </c>
      <c r="AZ14">
        <f>ROUND( $AZ$13 + $AZ$5, $AZ$2 )</f>
        <v>80.22</v>
      </c>
      <c r="BA14">
        <f>ROUND( $BA$13 + $BA$5, $BA$2 )</f>
        <v>80.98</v>
      </c>
      <c r="BB14">
        <f>ROUND( $BB$13 + $BB$5, $BB$2 )</f>
        <v>80.58</v>
      </c>
      <c r="BC14">
        <f>ROUND( $BC$13 + $BC$5, $BC$2 )</f>
        <v>79.209999999999994</v>
      </c>
      <c r="BD14">
        <f>ROUND( $BD$13 + $BD$5, $BD$2 )</f>
        <v>78.78</v>
      </c>
      <c r="BE14">
        <f>ROUND( $BE$13 + $BE$5, $BE$2 )</f>
        <v>79.41</v>
      </c>
      <c r="BF14">
        <f>ROUND( $BF$13 + $BF$5, $BF$2 )</f>
        <v>81.7</v>
      </c>
      <c r="BG14">
        <f>ROUND( $BG$13 + $BG$5, $BG$2 )</f>
        <v>80.739999999999995</v>
      </c>
      <c r="BH14">
        <f>ROUND( $BH$13 + $BH$5, $BH$2 )</f>
        <v>80.05</v>
      </c>
      <c r="BI14">
        <f>ROUND( $BI$13 + $BI$5, $BI$2 )</f>
        <v>80.37</v>
      </c>
      <c r="BJ14">
        <f>ROUND( $BJ$13 + $BJ$5, $BJ$2 )</f>
        <v>82.25</v>
      </c>
      <c r="BK14">
        <f>ROUND( $BK$13 + $BK$5, $BK$2 )</f>
        <v>79.760000000000005</v>
      </c>
      <c r="BL14">
        <f>ROUND( $BL$13 + $BL$5, $BL$2 )</f>
        <v>78.67</v>
      </c>
      <c r="BM14">
        <f>ROUND( $BM$13 + $BM$5, $BM$2 )</f>
        <v>79.52</v>
      </c>
      <c r="BN14">
        <f>ROUND( $BN$13 + $BN$5, $BN$2 )</f>
        <v>80.709999999999994</v>
      </c>
      <c r="BO14">
        <f>ROUND( $BO$13 + $BO$5, $BO$2 )</f>
        <v>80.5</v>
      </c>
      <c r="BP14">
        <f>ROUND( $BP$13 + $BP$5, $BP$2 )</f>
        <v>79.209999999999994</v>
      </c>
      <c r="BQ14">
        <f>ROUND( $BQ$13 + $BQ$5, $BQ$2 )</f>
        <v>79.7</v>
      </c>
      <c r="BR14">
        <f>ROUND( $BR$13 + $BR$5, $BR$2 )</f>
        <v>78.59</v>
      </c>
      <c r="BS14">
        <f>ROUND( $BS$13 + $BS$5, $BS$2 )</f>
        <v>78.34</v>
      </c>
      <c r="BT14">
        <f>ROUND( $BT$13 + $BT$5, $BT$2 )</f>
        <v>78.790000000000006</v>
      </c>
      <c r="BU14">
        <f>ROUND( $BU$13 + $BU$5, $BU$2 )</f>
        <v>79.27</v>
      </c>
      <c r="BV14">
        <f>ROUND( $BV$13 + $BV$5, $BV$2 )</f>
        <v>79.3</v>
      </c>
      <c r="BW14">
        <f>ROUND( $BW$13 + $BW$5, $BW$2 )</f>
        <v>78.56</v>
      </c>
      <c r="BX14">
        <f>ROUND( $BX$13 + $BX$5, $BX$2 )</f>
        <v>80.44</v>
      </c>
      <c r="BY14">
        <f>ROUND( $BY$13 + $BY$5, $BY$2 )</f>
        <v>81.78</v>
      </c>
      <c r="BZ14">
        <f>ROUND( $BZ$13 + $BZ$5, $BZ$2 )</f>
        <v>79.58</v>
      </c>
      <c r="CA14">
        <f>ROUND( $CA$13 + $CA$5, $CA$2 )</f>
        <v>78.8</v>
      </c>
      <c r="CB14">
        <f>ROUND( $CB$13 + $CB$5, $CB$2 )</f>
        <v>56.04</v>
      </c>
      <c r="CC14">
        <f>ROUND( $CC$13 + $CC$5, $CC$2 )</f>
        <v>56.04</v>
      </c>
      <c r="CD14">
        <f>ROUND( $CD$13 + $CD$5, $CD$2 )</f>
        <v>77.8</v>
      </c>
      <c r="CE14">
        <f>ROUND( $CE$13 + $CE$5, $CE$2 )</f>
        <v>60</v>
      </c>
      <c r="CF14">
        <f>ROUND( $CF$13 + $CF$5, $CF$2 )</f>
        <v>60</v>
      </c>
      <c r="CG14">
        <f>ROUND( $CG$13 + $CG$5, $CG$2 )</f>
        <v>57</v>
      </c>
      <c r="CH14">
        <f>ROUND( $CH$13 + $CH$5, $CH$2 )</f>
        <v>57</v>
      </c>
      <c r="CI14">
        <f>ROUND( $CI$13 + $CI$5, $CI$2 )</f>
        <v>60</v>
      </c>
    </row>
    <row r="15" spans="1:87" x14ac:dyDescent="0.2">
      <c r="B15">
        <f>ROUND( $B$14 + $B$5, $B$2 )</f>
        <v>80.33</v>
      </c>
      <c r="C15">
        <f>ROUND( $C$14 + $C$5, $C$2 )</f>
        <v>80.08</v>
      </c>
      <c r="D15">
        <f>ROUND( $D$14 + $D$5, $D$2 )</f>
        <v>79.67</v>
      </c>
      <c r="E15">
        <f>ROUND( $E$14 + $E$5, $E$2 )</f>
        <v>80.63</v>
      </c>
      <c r="F15">
        <f>ROUND( $F$14 + $F$5, $F$2 )</f>
        <v>80.22</v>
      </c>
      <c r="G15">
        <f>ROUND( $G$14 + $G$5, $G$2 )</f>
        <v>79.84</v>
      </c>
      <c r="H15">
        <f>ROUND( $H$14 + $H$5, $H$2 )</f>
        <v>79.900000000000006</v>
      </c>
      <c r="I15">
        <f>ROUND( $I$14 + $I$5, $I$2 )</f>
        <v>81.09</v>
      </c>
      <c r="J15">
        <f>ROUND( $J$14 + $J$5, $J$2 )</f>
        <v>80.69</v>
      </c>
      <c r="K15">
        <f>ROUND( $K$14 + $K$5, $K$2 )</f>
        <v>80.41</v>
      </c>
      <c r="L15">
        <f>ROUND( $L$14 + $L$5, $L$2 )</f>
        <v>80.72</v>
      </c>
      <c r="M15">
        <f>ROUND( $M$14 + $M$5, $M$2 )</f>
        <v>82.52</v>
      </c>
      <c r="N15">
        <f>ROUND( $N$14 + $N$5, $N$2 )</f>
        <v>0</v>
      </c>
      <c r="O15">
        <f>ROUND( $O$14 + $O$5, $O$2 )</f>
        <v>0</v>
      </c>
      <c r="P15">
        <f>ROUND( $P$14 + $P$5, $P$2 )</f>
        <v>0</v>
      </c>
      <c r="Q15">
        <f>ROUND( $Q$14 + $Q$5, $Q$2 )</f>
        <v>0</v>
      </c>
      <c r="R15">
        <f>ROUND( $R$14 + $R$5, $R$2 )</f>
        <v>0</v>
      </c>
      <c r="S15">
        <f>ROUND( $S$14 + $S$5, $S$2 )</f>
        <v>0</v>
      </c>
      <c r="T15">
        <f>ROUND( $T$14 + $T$5, $T$2 )</f>
        <v>0</v>
      </c>
      <c r="U15">
        <f>ROUND( $U$14 + $U$5, $U$2 )</f>
        <v>0</v>
      </c>
      <c r="V15">
        <f>ROUND( $V$14 + $V$5, $V$2 )</f>
        <v>0</v>
      </c>
      <c r="W15">
        <f>ROUND( $W$14 + $W$5, $W$2 )</f>
        <v>0</v>
      </c>
      <c r="X15">
        <f>ROUND( $X$14 + $X$5, $X$2 )</f>
        <v>0</v>
      </c>
      <c r="Y15">
        <f>ROUND( $Y$14 + $Y$5, $Y$2 )</f>
        <v>0</v>
      </c>
      <c r="Z15">
        <f>ROUND( $Z$14 + $Z$5, $Z$2 )</f>
        <v>58</v>
      </c>
      <c r="AA15">
        <f>ROUND( $AA$14 + $AA$5, $AA$2 )</f>
        <v>54</v>
      </c>
      <c r="AB15">
        <f>ROUND( $AB$14 + $AB$5, $AB$2 )</f>
        <v>58</v>
      </c>
      <c r="AC15">
        <f>ROUND( $AC$14 + $AC$5, $AC$2 )</f>
        <v>80.33</v>
      </c>
      <c r="AD15">
        <f>ROUND( $AD$14 + $AD$5, $AD$2 )</f>
        <v>78.790000000000006</v>
      </c>
      <c r="AE15">
        <f>ROUND( $AE$14 + $AE$5, $AE$2 )</f>
        <v>78.3</v>
      </c>
      <c r="AF15">
        <f>ROUND( $AF$14 + $AF$5, $AF$2 )</f>
        <v>79.75</v>
      </c>
      <c r="AG15">
        <f>ROUND( $AG$14 + $AG$5, $AG$2 )</f>
        <v>79.87</v>
      </c>
      <c r="AH15">
        <f>ROUND( $AH$14 + $AH$5, $AH$2 )</f>
        <v>79.84</v>
      </c>
      <c r="AI15">
        <f>ROUND( $AI$14 + $AI$5, $AI$2 )</f>
        <v>79.28</v>
      </c>
      <c r="AJ15">
        <f>ROUND( $AJ$14 + $AJ$5, $AJ$2 )</f>
        <v>79.819999999999993</v>
      </c>
      <c r="AK15">
        <f>ROUND( $AK$14 + $AK$5, $AK$2 )</f>
        <v>79.849999999999994</v>
      </c>
      <c r="AL15">
        <f>ROUND( $AL$14 + $AL$5, $AL$2 )</f>
        <v>79.67</v>
      </c>
      <c r="AM15">
        <f>ROUND( $AM$14 + $AM$5, $AM$2 )</f>
        <v>79.92</v>
      </c>
      <c r="AN15">
        <f>ROUND( $AN$14 + $AN$5, $AN$2 )</f>
        <v>79.91</v>
      </c>
      <c r="AO15">
        <f>ROUND( $AO$14 + $AO$5, $AO$2 )</f>
        <v>58</v>
      </c>
      <c r="AP15">
        <f>ROUND( $AP$14 + $AP$5, $AP$2 )</f>
        <v>58</v>
      </c>
      <c r="AQ15">
        <f>ROUND( $AQ$14 + $AQ$5, $AQ$2 )</f>
        <v>58</v>
      </c>
      <c r="AR15">
        <f>ROUND( $AR$14 + $AR$5, $AR$2 )</f>
        <v>80.86</v>
      </c>
      <c r="AS15">
        <f>ROUND( $AS$14 + $AS$5, $AS$2 )</f>
        <v>79.87</v>
      </c>
      <c r="AT15">
        <f>ROUND( $AT$14 + $AT$5, $AT$2 )</f>
        <v>79.58</v>
      </c>
      <c r="AU15">
        <f>ROUND( $AU$14 + $AU$5, $AU$2 )</f>
        <v>81.16</v>
      </c>
      <c r="AV15">
        <f>ROUND( $AV$14 + $AV$5, $AV$2 )</f>
        <v>81.67</v>
      </c>
      <c r="AW15">
        <f>ROUND( $AW$14 + $AW$5, $AW$2 )</f>
        <v>81.86</v>
      </c>
      <c r="AX15">
        <f>ROUND( $AX$14 + $AX$5, $AX$2 )</f>
        <v>81.47</v>
      </c>
      <c r="AY15">
        <f>ROUND( $AY$14 + $AY$5, $AY$2 )</f>
        <v>82.48</v>
      </c>
      <c r="AZ15">
        <f>ROUND( $AZ$14 + $AZ$5, $AZ$2 )</f>
        <v>81.5</v>
      </c>
      <c r="BA15">
        <f>ROUND( $BA$14 + $BA$5, $BA$2 )</f>
        <v>83.08</v>
      </c>
      <c r="BB15">
        <f>ROUND( $BB$14 + $BB$5, $BB$2 )</f>
        <v>82.48</v>
      </c>
      <c r="BC15">
        <f>ROUND( $BC$14 + $BC$5, $BC$2 )</f>
        <v>80.709999999999994</v>
      </c>
      <c r="BD15">
        <f>ROUND( $BD$14 + $BD$5, $BD$2 )</f>
        <v>80.25</v>
      </c>
      <c r="BE15">
        <f>ROUND( $BE$14 + $BE$5, $BE$2 )</f>
        <v>80.88</v>
      </c>
      <c r="BF15">
        <f>ROUND( $BF$14 + $BF$5, $BF$2 )</f>
        <v>83.83</v>
      </c>
      <c r="BG15">
        <f>ROUND( $BG$14 + $BG$5, $BG$2 )</f>
        <v>82.29</v>
      </c>
      <c r="BH15">
        <f>ROUND( $BH$14 + $BH$5, $BH$2 )</f>
        <v>81.66</v>
      </c>
      <c r="BI15">
        <f>ROUND( $BI$14 + $BI$5, $BI$2 )</f>
        <v>82</v>
      </c>
      <c r="BJ15">
        <f>ROUND( $BJ$14 + $BJ$5, $BJ$2 )</f>
        <v>84.21</v>
      </c>
      <c r="BK15">
        <f>ROUND( $BK$14 + $BK$5, $BK$2 )</f>
        <v>81.33</v>
      </c>
      <c r="BL15">
        <f>ROUND( $BL$14 + $BL$5, $BL$2 )</f>
        <v>79.930000000000007</v>
      </c>
      <c r="BM15">
        <f>ROUND( $BM$14 + $BM$5, $BM$2 )</f>
        <v>80.760000000000005</v>
      </c>
      <c r="BN15">
        <f>ROUND( $BN$14 + $BN$5, $BN$2 )</f>
        <v>82.41</v>
      </c>
      <c r="BO15">
        <f>ROUND( $BO$14 + $BO$5, $BO$2 )</f>
        <v>82.24</v>
      </c>
      <c r="BP15">
        <f>ROUND( $BP$14 + $BP$5, $BP$2 )</f>
        <v>80.73</v>
      </c>
      <c r="BQ15">
        <f>ROUND( $BQ$14 + $BQ$5, $BQ$2 )</f>
        <v>81.709999999999994</v>
      </c>
      <c r="BR15">
        <f>ROUND( $BR$14 + $BR$5, $BR$2 )</f>
        <v>80.41</v>
      </c>
      <c r="BS15">
        <f>ROUND( $BS$14 + $BS$5, $BS$2 )</f>
        <v>79.959999999999994</v>
      </c>
      <c r="BT15">
        <f>ROUND( $BT$14 + $BT$5, $BT$2 )</f>
        <v>80.650000000000006</v>
      </c>
      <c r="BU15">
        <f>ROUND( $BU$14 + $BU$5, $BU$2 )</f>
        <v>80.819999999999993</v>
      </c>
      <c r="BV15">
        <f>ROUND( $BV$14 + $BV$5, $BV$2 )</f>
        <v>81.099999999999994</v>
      </c>
      <c r="BW15">
        <f>ROUND( $BW$14 + $BW$5, $BW$2 )</f>
        <v>80.22</v>
      </c>
      <c r="BX15">
        <f>ROUND( $BX$14 + $BX$5, $BX$2 )</f>
        <v>81.83</v>
      </c>
      <c r="BY15">
        <f>ROUND( $BY$14 + $BY$5, $BY$2 )</f>
        <v>83.55</v>
      </c>
      <c r="BZ15">
        <f>ROUND( $BZ$14 + $BZ$5, $BZ$2 )</f>
        <v>80.98</v>
      </c>
      <c r="CA15">
        <f>ROUND( $CA$14 + $CA$5, $CA$2 )</f>
        <v>80.540000000000006</v>
      </c>
      <c r="CB15">
        <f>ROUND( $CB$14 + $CB$5, $CB$2 )</f>
        <v>57.38</v>
      </c>
      <c r="CC15">
        <f>ROUND( $CC$14 + $CC$5, $CC$2 )</f>
        <v>57.38</v>
      </c>
      <c r="CD15">
        <f>ROUND( $CD$14 + $CD$5, $CD$2 )</f>
        <v>78.2</v>
      </c>
      <c r="CE15">
        <f>ROUND( $CE$14 + $CE$5, $CE$2 )</f>
        <v>60</v>
      </c>
      <c r="CF15">
        <f>ROUND( $CF$14 + $CF$5, $CF$2 )</f>
        <v>62</v>
      </c>
      <c r="CG15">
        <f>ROUND( $CG$14 + $CG$5, $CG$2 )</f>
        <v>58</v>
      </c>
      <c r="CH15">
        <f>ROUND( $CH$14 + $CH$5, $CH$2 )</f>
        <v>58</v>
      </c>
      <c r="CI15">
        <f>ROUND( $CI$14 + $CI$5, $CI$2 )</f>
        <v>60</v>
      </c>
    </row>
    <row r="16" spans="1:87" x14ac:dyDescent="0.2">
      <c r="B16">
        <f>ROUND( $B$15 + $B$5, $B$2 )</f>
        <v>81.47</v>
      </c>
      <c r="C16">
        <f>ROUND( $C$15 + $C$5, $C$2 )</f>
        <v>81.14</v>
      </c>
      <c r="D16">
        <f>ROUND( $D$15 + $D$5, $D$2 )</f>
        <v>81.11</v>
      </c>
      <c r="E16">
        <f>ROUND( $E$15 + $E$5, $E$2 )</f>
        <v>81.8</v>
      </c>
      <c r="F16">
        <f>ROUND( $F$15 + $F$5, $F$2 )</f>
        <v>81.7</v>
      </c>
      <c r="G16">
        <f>ROUND( $G$15 + $G$5, $G$2 )</f>
        <v>80.89</v>
      </c>
      <c r="H16">
        <f>ROUND( $H$15 + $H$5, $H$2 )</f>
        <v>81.37</v>
      </c>
      <c r="I16">
        <f>ROUND( $I$15 + $I$5, $I$2 )</f>
        <v>82.53</v>
      </c>
      <c r="J16">
        <f>ROUND( $J$15 + $J$5, $J$2 )</f>
        <v>81.86</v>
      </c>
      <c r="K16">
        <f>ROUND( $K$15 + $K$5, $K$2 )</f>
        <v>81.41</v>
      </c>
      <c r="L16">
        <f>ROUND( $L$15 + $L$5, $L$2 )</f>
        <v>82.07</v>
      </c>
      <c r="M16">
        <f>ROUND( $M$15 + $M$5, $M$2 )</f>
        <v>84.09</v>
      </c>
      <c r="N16">
        <f>ROUND( $N$15 + $N$5, $N$2 )</f>
        <v>0</v>
      </c>
      <c r="O16">
        <f>ROUND( $O$15 + $O$5, $O$2 )</f>
        <v>0</v>
      </c>
      <c r="P16">
        <f>ROUND( $P$15 + $P$5, $P$2 )</f>
        <v>0</v>
      </c>
      <c r="Q16">
        <f>ROUND( $Q$15 + $Q$5, $Q$2 )</f>
        <v>0</v>
      </c>
      <c r="R16">
        <f>ROUND( $R$15 + $R$5, $R$2 )</f>
        <v>0</v>
      </c>
      <c r="S16">
        <f>ROUND( $S$15 + $S$5, $S$2 )</f>
        <v>0</v>
      </c>
      <c r="T16">
        <f>ROUND( $T$15 + $T$5, $T$2 )</f>
        <v>0</v>
      </c>
      <c r="U16">
        <f>ROUND( $U$15 + $U$5, $U$2 )</f>
        <v>0</v>
      </c>
      <c r="V16">
        <f>ROUND( $V$15 + $V$5, $V$2 )</f>
        <v>0</v>
      </c>
      <c r="W16">
        <f>ROUND( $W$15 + $W$5, $W$2 )</f>
        <v>0</v>
      </c>
      <c r="X16">
        <f>ROUND( $X$15 + $X$5, $X$2 )</f>
        <v>0</v>
      </c>
      <c r="Y16">
        <f>ROUND( $Y$15 + $Y$5, $Y$2 )</f>
        <v>0</v>
      </c>
      <c r="Z16">
        <f>ROUND( $Z$15 + $Z$5, $Z$2 )</f>
        <v>59</v>
      </c>
      <c r="AA16">
        <f>ROUND( $AA$15 + $AA$5, $AA$2 )</f>
        <v>54.5</v>
      </c>
      <c r="AB16">
        <f>ROUND( $AB$15 + $AB$5, $AB$2 )</f>
        <v>59</v>
      </c>
      <c r="AC16">
        <f>ROUND( $AC$15 + $AC$5, $AC$2 )</f>
        <v>81.47</v>
      </c>
      <c r="AD16">
        <f>ROUND( $AD$15 + $AD$5, $AD$2 )</f>
        <v>79.569999999999993</v>
      </c>
      <c r="AE16">
        <f>ROUND( $AE$15 + $AE$5, $AE$2 )</f>
        <v>79.19</v>
      </c>
      <c r="AF16">
        <f>ROUND( $AF$15 + $AF$5, $AF$2 )</f>
        <v>80.84</v>
      </c>
      <c r="AG16">
        <f>ROUND( $AG$15 + $AG$5, $AG$2 )</f>
        <v>80.89</v>
      </c>
      <c r="AH16">
        <f>ROUND( $AH$15 + $AH$5, $AH$2 )</f>
        <v>80.92</v>
      </c>
      <c r="AI16">
        <f>ROUND( $AI$15 + $AI$5, $AI$2 )</f>
        <v>80.319999999999993</v>
      </c>
      <c r="AJ16">
        <f>ROUND( $AJ$15 + $AJ$5, $AJ$2 )</f>
        <v>80.97</v>
      </c>
      <c r="AK16">
        <f>ROUND( $AK$15 + $AK$5, $AK$2 )</f>
        <v>80.739999999999995</v>
      </c>
      <c r="AL16">
        <f>ROUND( $AL$15 + $AL$5, $AL$2 )</f>
        <v>80.62</v>
      </c>
      <c r="AM16">
        <f>ROUND( $AM$15 + $AM$5, $AM$2 )</f>
        <v>80.900000000000006</v>
      </c>
      <c r="AN16">
        <f>ROUND( $AN$15 + $AN$5, $AN$2 )</f>
        <v>80.739999999999995</v>
      </c>
      <c r="AO16">
        <f>ROUND( $AO$15 + $AO$5, $AO$2 )</f>
        <v>59</v>
      </c>
      <c r="AP16">
        <f>ROUND( $AP$15 + $AP$5, $AP$2 )</f>
        <v>59</v>
      </c>
      <c r="AQ16">
        <f>ROUND( $AQ$15 + $AQ$5, $AQ$2 )</f>
        <v>59</v>
      </c>
      <c r="AR16">
        <f>ROUND( $AR$15 + $AR$5, $AR$2 )</f>
        <v>82.3</v>
      </c>
      <c r="AS16">
        <f>ROUND( $AS$15 + $AS$5, $AS$2 )</f>
        <v>81.540000000000006</v>
      </c>
      <c r="AT16">
        <f>ROUND( $AT$15 + $AT$5, $AT$2 )</f>
        <v>81.37</v>
      </c>
      <c r="AU16">
        <f>ROUND( $AU$15 + $AU$5, $AU$2 )</f>
        <v>83.04</v>
      </c>
      <c r="AV16">
        <f>ROUND( $AV$15 + $AV$5, $AV$2 )</f>
        <v>83.54</v>
      </c>
      <c r="AW16">
        <f>ROUND( $AW$15 + $AW$5, $AW$2 )</f>
        <v>83.72</v>
      </c>
      <c r="AX16">
        <f>ROUND( $AX$15 + $AX$5, $AX$2 )</f>
        <v>83.57</v>
      </c>
      <c r="AY16">
        <f>ROUND( $AY$15 + $AY$5, $AY$2 )</f>
        <v>84.2</v>
      </c>
      <c r="AZ16">
        <f>ROUND( $AZ$15 + $AZ$5, $AZ$2 )</f>
        <v>82.78</v>
      </c>
      <c r="BA16">
        <f>ROUND( $BA$15 + $BA$5, $BA$2 )</f>
        <v>85.18</v>
      </c>
      <c r="BB16">
        <f>ROUND( $BB$15 + $BB$5, $BB$2 )</f>
        <v>84.38</v>
      </c>
      <c r="BC16">
        <f>ROUND( $BC$15 + $BC$5, $BC$2 )</f>
        <v>82.21</v>
      </c>
      <c r="BD16">
        <f>ROUND( $BD$15 + $BD$5, $BD$2 )</f>
        <v>81.72</v>
      </c>
      <c r="BE16">
        <f>ROUND( $BE$15 + $BE$5, $BE$2 )</f>
        <v>82.35</v>
      </c>
      <c r="BF16">
        <f>ROUND( $BF$15 + $BF$5, $BF$2 )</f>
        <v>85.96</v>
      </c>
      <c r="BG16">
        <f>ROUND( $BG$15 + $BG$5, $BG$2 )</f>
        <v>83.84</v>
      </c>
      <c r="BH16">
        <f>ROUND( $BH$15 + $BH$5, $BH$2 )</f>
        <v>83.27</v>
      </c>
      <c r="BI16">
        <f>ROUND( $BI$15 + $BI$5, $BI$2 )</f>
        <v>83.63</v>
      </c>
      <c r="BJ16">
        <f>ROUND( $BJ$15 + $BJ$5, $BJ$2 )</f>
        <v>86.17</v>
      </c>
      <c r="BK16">
        <f>ROUND( $BK$15 + $BK$5, $BK$2 )</f>
        <v>82.9</v>
      </c>
      <c r="BL16">
        <f>ROUND( $BL$15 + $BL$5, $BL$2 )</f>
        <v>81.19</v>
      </c>
      <c r="BM16">
        <f>ROUND( $BM$15 + $BM$5, $BM$2 )</f>
        <v>82</v>
      </c>
      <c r="BN16">
        <f>ROUND( $BN$15 + $BN$5, $BN$2 )</f>
        <v>84.11</v>
      </c>
      <c r="BO16">
        <f>ROUND( $BO$15 + $BO$5, $BO$2 )</f>
        <v>83.98</v>
      </c>
      <c r="BP16">
        <f>ROUND( $BP$15 + $BP$5, $BP$2 )</f>
        <v>82.25</v>
      </c>
      <c r="BQ16">
        <f>ROUND( $BQ$15 + $BQ$5, $BQ$2 )</f>
        <v>83.72</v>
      </c>
      <c r="BR16">
        <f>ROUND( $BR$15 + $BR$5, $BR$2 )</f>
        <v>82.23</v>
      </c>
      <c r="BS16">
        <f>ROUND( $BS$15 + $BS$5, $BS$2 )</f>
        <v>81.58</v>
      </c>
      <c r="BT16">
        <f>ROUND( $BT$15 + $BT$5, $BT$2 )</f>
        <v>82.51</v>
      </c>
      <c r="BU16">
        <f>ROUND( $BU$15 + $BU$5, $BU$2 )</f>
        <v>82.37</v>
      </c>
      <c r="BV16">
        <f>ROUND( $BV$15 + $BV$5, $BV$2 )</f>
        <v>82.9</v>
      </c>
      <c r="BW16">
        <f>ROUND( $BW$15 + $BW$5, $BW$2 )</f>
        <v>81.88</v>
      </c>
      <c r="BX16">
        <f>ROUND( $BX$15 + $BX$5, $BX$2 )</f>
        <v>83.22</v>
      </c>
      <c r="BY16">
        <f>ROUND( $BY$15 + $BY$5, $BY$2 )</f>
        <v>85.32</v>
      </c>
      <c r="BZ16">
        <f>ROUND( $BZ$15 + $BZ$5, $BZ$2 )</f>
        <v>82.38</v>
      </c>
      <c r="CA16">
        <f>ROUND( $CA$15 + $CA$5, $CA$2 )</f>
        <v>82.28</v>
      </c>
      <c r="CB16">
        <f>ROUND( $CB$15 + $CB$5, $CB$2 )</f>
        <v>58.72</v>
      </c>
      <c r="CC16">
        <f>ROUND( $CC$15 + $CC$5, $CC$2 )</f>
        <v>58.72</v>
      </c>
      <c r="CD16">
        <f>ROUND( $CD$15 + $CD$5, $CD$2 )</f>
        <v>78.599999999999994</v>
      </c>
      <c r="CE16">
        <f>ROUND( $CE$15 + $CE$5, $CE$2 )</f>
        <v>60</v>
      </c>
      <c r="CF16">
        <f>ROUND( $CF$15 + $CF$5, $CF$2 )</f>
        <v>64</v>
      </c>
      <c r="CG16">
        <f>ROUND( $CG$15 + $CG$5, $CG$2 )</f>
        <v>59</v>
      </c>
      <c r="CH16">
        <f>ROUND( $CH$15 + $CH$5, $CH$2 )</f>
        <v>59</v>
      </c>
      <c r="CI16">
        <f>ROUND( $CI$15 + $CI$5, $CI$2 )</f>
        <v>60</v>
      </c>
    </row>
    <row r="17" spans="2:87" x14ac:dyDescent="0.2">
      <c r="B17">
        <f>ROUND( $B$16 + $B$5, $B$2 )</f>
        <v>82.61</v>
      </c>
      <c r="C17">
        <f>ROUND( $C$16 + $C$5, $C$2 )</f>
        <v>82.2</v>
      </c>
      <c r="D17">
        <f>ROUND( $D$16 + $D$5, $D$2 )</f>
        <v>82.55</v>
      </c>
      <c r="E17">
        <f>ROUND( $E$16 + $E$5, $E$2 )</f>
        <v>82.97</v>
      </c>
      <c r="F17">
        <f>ROUND( $F$16 + $F$5, $F$2 )</f>
        <v>83.18</v>
      </c>
      <c r="G17">
        <f>ROUND( $G$16 + $G$5, $G$2 )</f>
        <v>81.94</v>
      </c>
      <c r="H17">
        <f>ROUND( $H$16 + $H$5, $H$2 )</f>
        <v>82.84</v>
      </c>
      <c r="I17">
        <f>ROUND( $I$16 + $I$5, $I$2 )</f>
        <v>83.97</v>
      </c>
      <c r="J17">
        <f>ROUND( $J$16 + $J$5, $J$2 )</f>
        <v>83.03</v>
      </c>
      <c r="K17">
        <f>ROUND( $K$16 + $K$5, $K$2 )</f>
        <v>82.41</v>
      </c>
      <c r="L17">
        <f>ROUND( $L$16 + $L$5, $L$2 )</f>
        <v>83.42</v>
      </c>
      <c r="M17">
        <f>ROUND( $M$16 + $M$5, $M$2 )</f>
        <v>85.66</v>
      </c>
      <c r="N17">
        <f>ROUND( $N$16 + $N$5, $N$2 )</f>
        <v>0</v>
      </c>
      <c r="O17">
        <f>ROUND( $O$16 + $O$5, $O$2 )</f>
        <v>0</v>
      </c>
      <c r="P17">
        <f>ROUND( $P$16 + $P$5, $P$2 )</f>
        <v>0</v>
      </c>
      <c r="Q17">
        <f>ROUND( $Q$16 + $Q$5, $Q$2 )</f>
        <v>0</v>
      </c>
      <c r="R17">
        <f>ROUND( $R$16 + $R$5, $R$2 )</f>
        <v>0</v>
      </c>
      <c r="S17">
        <f>ROUND( $S$16 + $S$5, $S$2 )</f>
        <v>0</v>
      </c>
      <c r="T17">
        <f>ROUND( $T$16 + $T$5, $T$2 )</f>
        <v>0</v>
      </c>
      <c r="U17">
        <f>ROUND( $U$16 + $U$5, $U$2 )</f>
        <v>0</v>
      </c>
      <c r="V17">
        <f>ROUND( $V$16 + $V$5, $V$2 )</f>
        <v>0</v>
      </c>
      <c r="W17">
        <f>ROUND( $W$16 + $W$5, $W$2 )</f>
        <v>0</v>
      </c>
      <c r="X17">
        <f>ROUND( $X$16 + $X$5, $X$2 )</f>
        <v>0</v>
      </c>
      <c r="Y17">
        <f>ROUND( $Y$16 + $Y$5, $Y$2 )</f>
        <v>0</v>
      </c>
      <c r="Z17">
        <f>ROUND( $Z$16 + $Z$5, $Z$2 )</f>
        <v>60</v>
      </c>
      <c r="AA17">
        <f>ROUND( $AA$16 + $AA$5, $AA$2 )</f>
        <v>55</v>
      </c>
      <c r="AB17">
        <f>ROUND( $AB$16 + $AB$5, $AB$2 )</f>
        <v>60</v>
      </c>
      <c r="AC17">
        <f>ROUND( $AC$16 + $AC$5, $AC$2 )</f>
        <v>82.61</v>
      </c>
      <c r="AD17">
        <f>ROUND( $AD$16 + $AD$5, $AD$2 )</f>
        <v>80.349999999999994</v>
      </c>
      <c r="AE17">
        <f>ROUND( $AE$16 + $AE$5, $AE$2 )</f>
        <v>80.08</v>
      </c>
      <c r="AF17">
        <f>ROUND( $AF$16 + $AF$5, $AF$2 )</f>
        <v>81.93</v>
      </c>
      <c r="AG17">
        <f>ROUND( $AG$16 + $AG$5, $AG$2 )</f>
        <v>81.91</v>
      </c>
      <c r="AH17">
        <f>ROUND( $AH$16 + $AH$5, $AH$2 )</f>
        <v>82</v>
      </c>
      <c r="AI17">
        <f>ROUND( $AI$16 + $AI$5, $AI$2 )</f>
        <v>81.36</v>
      </c>
      <c r="AJ17">
        <f>ROUND( $AJ$16 + $AJ$5, $AJ$2 )</f>
        <v>82.12</v>
      </c>
      <c r="AK17">
        <f>ROUND( $AK$16 + $AK$5, $AK$2 )</f>
        <v>81.63</v>
      </c>
      <c r="AL17">
        <f>ROUND( $AL$16 + $AL$5, $AL$2 )</f>
        <v>81.569999999999993</v>
      </c>
      <c r="AM17">
        <f>ROUND( $AM$16 + $AM$5, $AM$2 )</f>
        <v>81.88</v>
      </c>
      <c r="AN17">
        <f>ROUND( $AN$16 + $AN$5, $AN$2 )</f>
        <v>81.569999999999993</v>
      </c>
      <c r="AO17">
        <f>ROUND( $AO$16 + $AO$5, $AO$2 )</f>
        <v>60</v>
      </c>
      <c r="AP17">
        <f>ROUND( $AP$16 + $AP$5, $AP$2 )</f>
        <v>60</v>
      </c>
      <c r="AQ17">
        <f>ROUND( $AQ$16 + $AQ$5, $AQ$2 )</f>
        <v>60</v>
      </c>
      <c r="AR17">
        <f>ROUND( $AR$16 + $AR$5, $AR$2 )</f>
        <v>83.74</v>
      </c>
      <c r="AS17">
        <f>ROUND( $AS$16 + $AS$5, $AS$2 )</f>
        <v>83.21</v>
      </c>
      <c r="AT17">
        <f>ROUND( $AT$16 + $AT$5, $AT$2 )</f>
        <v>83.16</v>
      </c>
      <c r="AU17">
        <f>ROUND( $AU$16 + $AU$5, $AU$2 )</f>
        <v>84.92</v>
      </c>
      <c r="AV17">
        <f>ROUND( $AV$16 + $AV$5, $AV$2 )</f>
        <v>85.41</v>
      </c>
      <c r="AW17">
        <f>ROUND( $AW$16 + $AW$5, $AW$2 )</f>
        <v>85.58</v>
      </c>
      <c r="AX17">
        <f>ROUND( $AX$16 + $AX$5, $AX$2 )</f>
        <v>85.67</v>
      </c>
      <c r="AY17">
        <f>ROUND( $AY$16 + $AY$5, $AY$2 )</f>
        <v>85.92</v>
      </c>
      <c r="AZ17">
        <f>ROUND( $AZ$16 + $AZ$5, $AZ$2 )</f>
        <v>84.06</v>
      </c>
      <c r="BA17">
        <f>ROUND( $BA$16 + $BA$5, $BA$2 )</f>
        <v>87.28</v>
      </c>
      <c r="BB17">
        <f>ROUND( $BB$16 + $BB$5, $BB$2 )</f>
        <v>86.28</v>
      </c>
      <c r="BC17">
        <f>ROUND( $BC$16 + $BC$5, $BC$2 )</f>
        <v>83.71</v>
      </c>
      <c r="BD17">
        <f>ROUND( $BD$16 + $BD$5, $BD$2 )</f>
        <v>83.19</v>
      </c>
      <c r="BE17">
        <f>ROUND( $BE$16 + $BE$5, $BE$2 )</f>
        <v>83.82</v>
      </c>
      <c r="BF17">
        <f>ROUND( $BF$16 + $BF$5, $BF$2 )</f>
        <v>88.09</v>
      </c>
      <c r="BG17">
        <f>ROUND( $BG$16 + $BG$5, $BG$2 )</f>
        <v>85.39</v>
      </c>
      <c r="BH17">
        <f>ROUND( $BH$16 + $BH$5, $BH$2 )</f>
        <v>84.88</v>
      </c>
      <c r="BI17">
        <f>ROUND( $BI$16 + $BI$5, $BI$2 )</f>
        <v>85.26</v>
      </c>
      <c r="BJ17">
        <f>ROUND( $BJ$16 + $BJ$5, $BJ$2 )</f>
        <v>88.13</v>
      </c>
      <c r="BK17">
        <f>ROUND( $BK$16 + $BK$5, $BK$2 )</f>
        <v>84.47</v>
      </c>
      <c r="BL17">
        <f>ROUND( $BL$16 + $BL$5, $BL$2 )</f>
        <v>82.45</v>
      </c>
      <c r="BM17">
        <f>ROUND( $BM$16 + $BM$5, $BM$2 )</f>
        <v>83.24</v>
      </c>
      <c r="BN17">
        <f>ROUND( $BN$16 + $BN$5, $BN$2 )</f>
        <v>85.81</v>
      </c>
      <c r="BO17">
        <f>ROUND( $BO$16 + $BO$5, $BO$2 )</f>
        <v>85.72</v>
      </c>
      <c r="BP17">
        <f>ROUND( $BP$16 + $BP$5, $BP$2 )</f>
        <v>83.77</v>
      </c>
      <c r="BQ17">
        <f>ROUND( $BQ$16 + $BQ$5, $BQ$2 )</f>
        <v>85.73</v>
      </c>
      <c r="BR17">
        <f>ROUND( $BR$16 + $BR$5, $BR$2 )</f>
        <v>84.05</v>
      </c>
      <c r="BS17">
        <f>ROUND( $BS$16 + $BS$5, $BS$2 )</f>
        <v>83.2</v>
      </c>
      <c r="BT17">
        <f>ROUND( $BT$16 + $BT$5, $BT$2 )</f>
        <v>84.37</v>
      </c>
      <c r="BU17">
        <f>ROUND( $BU$16 + $BU$5, $BU$2 )</f>
        <v>83.92</v>
      </c>
      <c r="BV17">
        <f>ROUND( $BV$16 + $BV$5, $BV$2 )</f>
        <v>84.7</v>
      </c>
      <c r="BW17">
        <f>ROUND( $BW$16 + $BW$5, $BW$2 )</f>
        <v>83.54</v>
      </c>
      <c r="BX17">
        <f>ROUND( $BX$16 + $BX$5, $BX$2 )</f>
        <v>84.61</v>
      </c>
      <c r="BY17">
        <f>ROUND( $BY$16 + $BY$5, $BY$2 )</f>
        <v>87.09</v>
      </c>
      <c r="BZ17">
        <f>ROUND( $BZ$16 + $BZ$5, $BZ$2 )</f>
        <v>83.78</v>
      </c>
      <c r="CA17">
        <f>ROUND( $CA$16 + $CA$5, $CA$2 )</f>
        <v>84.02</v>
      </c>
      <c r="CB17">
        <f>ROUND( $CB$16 + $CB$5, $CB$2 )</f>
        <v>60.06</v>
      </c>
      <c r="CC17">
        <f>ROUND( $CC$16 + $CC$5, $CC$2 )</f>
        <v>60.06</v>
      </c>
      <c r="CD17">
        <f>ROUND( $CD$16 + $CD$5, $CD$2 )</f>
        <v>79</v>
      </c>
      <c r="CE17">
        <f>ROUND( $CE$16 + $CE$5, $CE$2 )</f>
        <v>60</v>
      </c>
      <c r="CF17">
        <f>ROUND( $CF$16 + $CF$5, $CF$2 )</f>
        <v>66</v>
      </c>
      <c r="CG17">
        <f>ROUND( $CG$16 + $CG$5, $CG$2 )</f>
        <v>60</v>
      </c>
      <c r="CH17">
        <f>ROUND( $CH$16 + $CH$5, $CH$2 )</f>
        <v>60</v>
      </c>
      <c r="CI17">
        <f>ROUND( $CI$16 + $CI$5, $CI$2 )</f>
        <v>60</v>
      </c>
    </row>
    <row r="18" spans="2:87" x14ac:dyDescent="0.2">
      <c r="B18">
        <f>ROUND( $B$17 + $B$5, $B$2 )</f>
        <v>83.75</v>
      </c>
      <c r="C18">
        <f>ROUND( $C$17 + $C$5, $C$2 )</f>
        <v>83.26</v>
      </c>
      <c r="D18">
        <f>ROUND( $D$17 + $D$5, $D$2 )</f>
        <v>83.99</v>
      </c>
      <c r="E18">
        <f>ROUND( $E$17 + $E$5, $E$2 )</f>
        <v>84.14</v>
      </c>
      <c r="F18">
        <f>ROUND( $F$17 + $F$5, $F$2 )</f>
        <v>84.66</v>
      </c>
      <c r="G18">
        <f>ROUND( $G$17 + $G$5, $G$2 )</f>
        <v>82.99</v>
      </c>
      <c r="H18">
        <f>ROUND( $H$17 + $H$5, $H$2 )</f>
        <v>84.31</v>
      </c>
      <c r="I18">
        <f>ROUND( $I$17 + $I$5, $I$2 )</f>
        <v>85.41</v>
      </c>
      <c r="J18">
        <f>ROUND( $J$17 + $J$5, $J$2 )</f>
        <v>84.2</v>
      </c>
      <c r="K18">
        <f>ROUND( $K$17 + $K$5, $K$2 )</f>
        <v>83.41</v>
      </c>
      <c r="L18">
        <f>ROUND( $L$17 + $L$5, $L$2 )</f>
        <v>84.77</v>
      </c>
      <c r="M18">
        <f>ROUND( $M$17 + $M$5, $M$2 )</f>
        <v>87.23</v>
      </c>
      <c r="N18">
        <f>ROUND( $N$17 + $N$5, $N$2 )</f>
        <v>0</v>
      </c>
      <c r="O18">
        <f>ROUND( $O$17 + $O$5, $O$2 )</f>
        <v>0</v>
      </c>
      <c r="P18">
        <f>ROUND( $P$17 + $P$5, $P$2 )</f>
        <v>0</v>
      </c>
      <c r="Q18">
        <f>ROUND( $Q$17 + $Q$5, $Q$2 )</f>
        <v>0</v>
      </c>
      <c r="R18">
        <f>ROUND( $R$17 + $R$5, $R$2 )</f>
        <v>0</v>
      </c>
      <c r="S18">
        <f>ROUND( $S$17 + $S$5, $S$2 )</f>
        <v>0</v>
      </c>
      <c r="T18">
        <f>ROUND( $T$17 + $T$5, $T$2 )</f>
        <v>0</v>
      </c>
      <c r="U18">
        <f>ROUND( $U$17 + $U$5, $U$2 )</f>
        <v>0</v>
      </c>
      <c r="V18">
        <f>ROUND( $V$17 + $V$5, $V$2 )</f>
        <v>0</v>
      </c>
      <c r="W18">
        <f>ROUND( $W$17 + $W$5, $W$2 )</f>
        <v>0</v>
      </c>
      <c r="X18">
        <f>ROUND( $X$17 + $X$5, $X$2 )</f>
        <v>0</v>
      </c>
      <c r="Y18">
        <f>ROUND( $Y$17 + $Y$5, $Y$2 )</f>
        <v>0</v>
      </c>
      <c r="Z18">
        <f>ROUND( $Z$17 + $Z$5, $Z$2 )</f>
        <v>61</v>
      </c>
      <c r="AA18">
        <f>ROUND( $AA$17 + $AA$5, $AA$2 )</f>
        <v>55.5</v>
      </c>
      <c r="AB18">
        <f>ROUND( $AB$17 + $AB$5, $AB$2 )</f>
        <v>61</v>
      </c>
      <c r="AC18">
        <f>ROUND( $AC$17 + $AC$5, $AC$2 )</f>
        <v>83.75</v>
      </c>
      <c r="AD18">
        <f>ROUND( $AD$17 + $AD$5, $AD$2 )</f>
        <v>81.13</v>
      </c>
      <c r="AE18">
        <f>ROUND( $AE$17 + $AE$5, $AE$2 )</f>
        <v>80.97</v>
      </c>
      <c r="AF18">
        <f>ROUND( $AF$17 + $AF$5, $AF$2 )</f>
        <v>83.02</v>
      </c>
      <c r="AG18">
        <f>ROUND( $AG$17 + $AG$5, $AG$2 )</f>
        <v>82.93</v>
      </c>
      <c r="AH18">
        <f>ROUND( $AH$17 + $AH$5, $AH$2 )</f>
        <v>83.08</v>
      </c>
      <c r="AI18">
        <f>ROUND( $AI$17 + $AI$5, $AI$2 )</f>
        <v>82.4</v>
      </c>
      <c r="AJ18">
        <f>ROUND( $AJ$17 + $AJ$5, $AJ$2 )</f>
        <v>83.27</v>
      </c>
      <c r="AK18">
        <f>ROUND( $AK$17 + $AK$5, $AK$2 )</f>
        <v>82.52</v>
      </c>
      <c r="AL18">
        <f>ROUND( $AL$17 + $AL$5, $AL$2 )</f>
        <v>82.52</v>
      </c>
      <c r="AM18">
        <f>ROUND( $AM$17 + $AM$5, $AM$2 )</f>
        <v>82.86</v>
      </c>
      <c r="AN18">
        <f>ROUND( $AN$17 + $AN$5, $AN$2 )</f>
        <v>82.4</v>
      </c>
      <c r="AO18">
        <f>ROUND( $AO$17 + $AO$5, $AO$2 )</f>
        <v>61</v>
      </c>
      <c r="AP18">
        <f>ROUND( $AP$17 + $AP$5, $AP$2 )</f>
        <v>61</v>
      </c>
      <c r="AQ18">
        <f>ROUND( $AQ$17 + $AQ$5, $AQ$2 )</f>
        <v>61</v>
      </c>
      <c r="AR18">
        <f>ROUND( $AR$17 + $AR$5, $AR$2 )</f>
        <v>85.18</v>
      </c>
      <c r="AS18">
        <f>ROUND( $AS$17 + $AS$5, $AS$2 )</f>
        <v>84.88</v>
      </c>
      <c r="AT18">
        <f>ROUND( $AT$17 + $AT$5, $AT$2 )</f>
        <v>84.95</v>
      </c>
      <c r="AU18">
        <f>ROUND( $AU$17 + $AU$5, $AU$2 )</f>
        <v>86.8</v>
      </c>
      <c r="AV18">
        <f>ROUND( $AV$17 + $AV$5, $AV$2 )</f>
        <v>87.28</v>
      </c>
      <c r="AW18">
        <f>ROUND( $AW$17 + $AW$5, $AW$2 )</f>
        <v>87.44</v>
      </c>
      <c r="AX18">
        <f>ROUND( $AX$17 + $AX$5, $AX$2 )</f>
        <v>87.77</v>
      </c>
      <c r="AY18">
        <f>ROUND( $AY$17 + $AY$5, $AY$2 )</f>
        <v>87.64</v>
      </c>
      <c r="AZ18">
        <f>ROUND( $AZ$17 + $AZ$5, $AZ$2 )</f>
        <v>85.34</v>
      </c>
      <c r="BA18">
        <f>ROUND( $BA$17 + $BA$5, $BA$2 )</f>
        <v>89.38</v>
      </c>
      <c r="BB18">
        <f>ROUND( $BB$17 + $BB$5, $BB$2 )</f>
        <v>88.18</v>
      </c>
      <c r="BC18">
        <f>ROUND( $BC$17 + $BC$5, $BC$2 )</f>
        <v>85.21</v>
      </c>
      <c r="BD18">
        <f>ROUND( $BD$17 + $BD$5, $BD$2 )</f>
        <v>84.66</v>
      </c>
      <c r="BE18">
        <f>ROUND( $BE$17 + $BE$5, $BE$2 )</f>
        <v>85.29</v>
      </c>
      <c r="BF18">
        <f>ROUND( $BF$17 + $BF$5, $BF$2 )</f>
        <v>90.22</v>
      </c>
      <c r="BG18">
        <f>ROUND( $BG$17 + $BG$5, $BG$2 )</f>
        <v>86.94</v>
      </c>
      <c r="BH18">
        <f>ROUND( $BH$17 + $BH$5, $BH$2 )</f>
        <v>86.49</v>
      </c>
      <c r="BI18">
        <f>ROUND( $BI$17 + $BI$5, $BI$2 )</f>
        <v>86.89</v>
      </c>
      <c r="BJ18">
        <f>ROUND( $BJ$17 + $BJ$5, $BJ$2 )</f>
        <v>90.09</v>
      </c>
      <c r="BK18">
        <f>ROUND( $BK$17 + $BK$5, $BK$2 )</f>
        <v>86.04</v>
      </c>
      <c r="BL18">
        <f>ROUND( $BL$17 + $BL$5, $BL$2 )</f>
        <v>83.71</v>
      </c>
      <c r="BM18">
        <f>ROUND( $BM$17 + $BM$5, $BM$2 )</f>
        <v>84.48</v>
      </c>
      <c r="BN18">
        <f>ROUND( $BN$17 + $BN$5, $BN$2 )</f>
        <v>87.51</v>
      </c>
      <c r="BO18">
        <f>ROUND( $BO$17 + $BO$5, $BO$2 )</f>
        <v>87.46</v>
      </c>
      <c r="BP18">
        <f>ROUND( $BP$17 + $BP$5, $BP$2 )</f>
        <v>85.29</v>
      </c>
      <c r="BQ18">
        <f>ROUND( $BQ$17 + $BQ$5, $BQ$2 )</f>
        <v>87.74</v>
      </c>
      <c r="BR18">
        <f>ROUND( $BR$17 + $BR$5, $BR$2 )</f>
        <v>85.87</v>
      </c>
      <c r="BS18">
        <f>ROUND( $BS$17 + $BS$5, $BS$2 )</f>
        <v>84.82</v>
      </c>
      <c r="BT18">
        <f>ROUND( $BT$17 + $BT$5, $BT$2 )</f>
        <v>86.23</v>
      </c>
      <c r="BU18">
        <f>ROUND( $BU$17 + $BU$5, $BU$2 )</f>
        <v>85.47</v>
      </c>
      <c r="BV18">
        <f>ROUND( $BV$17 + $BV$5, $BV$2 )</f>
        <v>86.5</v>
      </c>
      <c r="BW18">
        <f>ROUND( $BW$17 + $BW$5, $BW$2 )</f>
        <v>85.2</v>
      </c>
      <c r="BX18">
        <f>ROUND( $BX$17 + $BX$5, $BX$2 )</f>
        <v>86</v>
      </c>
      <c r="BY18">
        <f>ROUND( $BY$17 + $BY$5, $BY$2 )</f>
        <v>88.86</v>
      </c>
      <c r="BZ18">
        <f>ROUND( $BZ$17 + $BZ$5, $BZ$2 )</f>
        <v>85.18</v>
      </c>
      <c r="CA18">
        <f>ROUND( $CA$17 + $CA$5, $CA$2 )</f>
        <v>85.76</v>
      </c>
      <c r="CB18">
        <f>ROUND( $CB$17 + $CB$5, $CB$2 )</f>
        <v>61.4</v>
      </c>
      <c r="CC18">
        <f>ROUND( $CC$17 + $CC$5, $CC$2 )</f>
        <v>61.4</v>
      </c>
      <c r="CD18">
        <f>ROUND( $CD$17 + $CD$5, $CD$2 )</f>
        <v>79.400000000000006</v>
      </c>
      <c r="CE18">
        <f>ROUND( $CE$17 + $CE$5, $CE$2 )</f>
        <v>60</v>
      </c>
      <c r="CF18">
        <f>ROUND( $CF$17 + $CF$5, $CF$2 )</f>
        <v>68</v>
      </c>
      <c r="CG18">
        <f>ROUND( $CG$17 + $CG$5, $CG$2 )</f>
        <v>61</v>
      </c>
      <c r="CH18">
        <f>ROUND( $CH$17 + $CH$5, $CH$2 )</f>
        <v>61</v>
      </c>
      <c r="CI18">
        <f>ROUND( $CI$17 + $CI$5, $CI$2 )</f>
        <v>60</v>
      </c>
    </row>
    <row r="19" spans="2:87" x14ac:dyDescent="0.2">
      <c r="B19">
        <f t="array" ref="B19:B30">FREQUENCY( Q_1, Q_1_bins ) / COUNT( Q_1 )</f>
        <v>0</v>
      </c>
      <c r="C19">
        <f t="array" ref="C19:C30">FREQUENCY( Q_10, Q_10_bins ) / COUNT( Q_10 )</f>
        <v>0</v>
      </c>
      <c r="D19">
        <f t="array" ref="D19:D30">FREQUENCY( Q_11, Q_11_bins ) / COUNT( Q_11 )</f>
        <v>0.01</v>
      </c>
      <c r="E19">
        <f t="array" ref="E19:E30">FREQUENCY( Q_12, Q_12_bins ) / COUNT( Q_12 )</f>
        <v>0.01</v>
      </c>
      <c r="F19">
        <f t="array" ref="F19:F30">FREQUENCY( Q_2, Q_2_bins ) / COUNT( Q_2 )</f>
        <v>0</v>
      </c>
      <c r="G19">
        <f t="array" ref="G19:G30">FREQUENCY( Q_3, Q_3_bins ) / COUNT( Q_3 )</f>
        <v>0</v>
      </c>
      <c r="H19">
        <f t="array" ref="H19:H30">FREQUENCY( Q_4, Q_4_bins ) / COUNT( Q_4 )</f>
        <v>0</v>
      </c>
      <c r="I19">
        <f t="array" ref="I19:I30">FREQUENCY( Q_5, Q_5_bins ) / COUNT( Q_5 )</f>
        <v>0.01</v>
      </c>
      <c r="J19">
        <f t="array" ref="J19:J30">FREQUENCY( Q_6, Q_6_bins ) / COUNT( Q_6 )</f>
        <v>0.01</v>
      </c>
      <c r="K19">
        <f t="array" ref="K19:K30">FREQUENCY( Q_7, Q_7_bins ) / COUNT( Q_7 )</f>
        <v>0</v>
      </c>
      <c r="L19">
        <f t="array" ref="L19:L30">FREQUENCY( Q_8, Q_8_bins ) / COUNT( Q_8 )</f>
        <v>0</v>
      </c>
      <c r="M19">
        <f t="array" ref="M19:M30">FREQUENCY( Q_9, Q_9_bins ) / COUNT( Q_9 )</f>
        <v>0</v>
      </c>
      <c r="N19" t="e">
        <f t="array" ref="N19:N30">FREQUENCY( AWF_Q_1, AWF_Q_1_bins ) / COUNT( AWF_Q_1 )</f>
        <v>#DIV/0!</v>
      </c>
      <c r="O19" t="e">
        <f t="array" ref="O19:O30">FREQUENCY( AWF_Q_2, AWF_Q_2_bins ) / COUNT( AWF_Q_2 )</f>
        <v>#DIV/0!</v>
      </c>
      <c r="P19" t="e">
        <f t="array" ref="P19:P30">FREQUENCY( AWF_Q_3, AWF_Q_3_bins ) / COUNT( AWF_Q_3 )</f>
        <v>#DIV/0!</v>
      </c>
      <c r="Q19" t="e">
        <f t="array" ref="Q19:Q30">FREQUENCY( AWF_Q_4, AWF_Q_4_bins ) / COUNT( AWF_Q_4 )</f>
        <v>#DIV/0!</v>
      </c>
      <c r="R19" t="e">
        <f t="array" ref="R19:R30">FREQUENCY( AWF_Q_5, AWF_Q_5_bins ) / COUNT( AWF_Q_5 )</f>
        <v>#DIV/0!</v>
      </c>
      <c r="S19" t="e">
        <f t="array" ref="S19:S30">FREQUENCY( AWF_Q_6, AWF_Q_6_bins ) / COUNT( AWF_Q_6 )</f>
        <v>#DIV/0!</v>
      </c>
      <c r="T19" t="e">
        <f t="array" ref="T19:T30">FREQUENCY( AWF_Q_7, AWF_Q_7_bins ) / COUNT( AWF_Q_7 )</f>
        <v>#DIV/0!</v>
      </c>
      <c r="U19" t="e">
        <f t="array" ref="U19:U30">FREQUENCY( AWF_Q_8, AWF_Q_8_bins ) / COUNT( AWF_Q_8 )</f>
        <v>#DIV/0!</v>
      </c>
      <c r="V19" t="e">
        <f t="array" ref="V19:V30">FREQUENCY( AWF_Q_9, AWF_Q_9_bins ) / COUNT( AWF_Q_9 )</f>
        <v>#DIV/0!</v>
      </c>
      <c r="W19" t="e">
        <f t="array" ref="W19:W30">FREQUENCY( AWF_Q_10, AWF_Q_10_bins ) / COUNT( AWF_Q_10 )</f>
        <v>#DIV/0!</v>
      </c>
      <c r="X19" t="e">
        <f t="array" ref="X19:X30">FREQUENCY( AWF_Q_11, AWF_Q_11_bins ) / COUNT( AWF_Q_11 )</f>
        <v>#DIV/0!</v>
      </c>
      <c r="Y19" t="e">
        <f t="array" ref="Y19:Y30">FREQUENCY( AWF_Q_12, AWF_Q_12_bins ) / COUNT( AWF_Q_12 )</f>
        <v>#DIV/0!</v>
      </c>
      <c r="Z19">
        <f t="array" ref="Z19:Z30">FREQUENCY( Total_Quartery_Award_Fee, Total_Quartery_Award_Fee_bins ) / COUNT( Total_Quartery_Award_Fee )</f>
        <v>0.04</v>
      </c>
      <c r="AA19">
        <f>ROUND( $AA$18 + $AA$5, $AA$2 )</f>
        <v>56</v>
      </c>
      <c r="AB19">
        <f t="array" ref="AB19:AB30">FREQUENCY( Total_Quartery_Award_Fee, Total_Quartery_Award_Fee_bins ) / COUNT( Total_Quartery_Award_Fee )</f>
        <v>0.04</v>
      </c>
      <c r="AC19">
        <f t="array" ref="AC19:AC30">FREQUENCY( RQ_1, RQ_1_bins ) / COUNT( RQ_1 )</f>
        <v>0</v>
      </c>
      <c r="AD19">
        <f t="array" ref="AD19:AD30">FREQUENCY( RQ_10, RQ_10_bins ) / COUNT( RQ_10 )</f>
        <v>0</v>
      </c>
      <c r="AE19">
        <f t="array" ref="AE19:AE30">FREQUENCY( RQ_11, RQ_11_bins ) / COUNT( RQ_11 )</f>
        <v>0</v>
      </c>
      <c r="AF19">
        <f t="array" ref="AF19:AF30">FREQUENCY( RQ_12, RQ_12_bins ) / COUNT( RQ_12 )</f>
        <v>0</v>
      </c>
      <c r="AG19">
        <f t="array" ref="AG19:AG30">FREQUENCY( RQ_2, RQ_2_bins ) / COUNT( RQ_2 )</f>
        <v>0</v>
      </c>
      <c r="AH19">
        <f t="array" ref="AH19:AH30">FREQUENCY( RQ_3, RQ_3_bins ) / COUNT( RQ_3 )</f>
        <v>0</v>
      </c>
      <c r="AI19">
        <f t="array" ref="AI19:AI30">FREQUENCY( RQ_4, RQ_4_bins ) / COUNT( RQ_4 )</f>
        <v>0</v>
      </c>
      <c r="AJ19">
        <f t="array" ref="AJ19:AJ30">FREQUENCY( RQ_5, RQ_5_bins ) / COUNT( RQ_5 )</f>
        <v>0</v>
      </c>
      <c r="AK19">
        <f t="array" ref="AK19:AK30">FREQUENCY( RQ_6, RQ_6_bins ) / COUNT( RQ_6 )</f>
        <v>0</v>
      </c>
      <c r="AL19">
        <f t="array" ref="AL19:AL30">FREQUENCY( RQ_7, RQ_7_bins ) / COUNT( RQ_7 )</f>
        <v>0</v>
      </c>
      <c r="AM19">
        <f t="array" ref="AM19:AM30">FREQUENCY( RQ_8, RQ_8_bins ) / COUNT( RQ_8 )</f>
        <v>0.01</v>
      </c>
      <c r="AN19">
        <f t="array" ref="AN19:AN30">FREQUENCY( RQ_9, RQ_9_bins ) / COUNT( RQ_9 )</f>
        <v>0</v>
      </c>
      <c r="AO19">
        <f t="array" ref="AO19:AO30">FREQUENCY( Total_Quartery_Award_Fee, Total_Quartery_Award_Fee_bins ) / COUNT( Total_Quartery_Award_Fee )</f>
        <v>0.04</v>
      </c>
      <c r="AP19">
        <f t="array" ref="AP19:AP30">FREQUENCY( Total_Quartery_Award_Fee, Total_Quartery_Award_Fee_bins ) / COUNT( Total_Quartery_Award_Fee )</f>
        <v>0.04</v>
      </c>
      <c r="AQ19">
        <f t="array" ref="AQ19:AQ30">FREQUENCY( Total_Roling_Qtrly_Awrd_Fee, Total_Roling_Qtrly_Awrd_Fee_bins ) / COUNT( Total_Roling_Qtrly_Awrd_Fee )</f>
        <v>0.03</v>
      </c>
      <c r="AR19">
        <f t="array" ref="AR19:AR30">FREQUENCY( M_1, M_1_bins ) / COUNT( M_1 )</f>
        <v>0.01</v>
      </c>
      <c r="AS19">
        <f t="array" ref="AS19:AS30">FREQUENCY( M_10, M_10_bins ) / COUNT( M_10 )</f>
        <v>0.01</v>
      </c>
      <c r="AT19">
        <f t="array" ref="AT19:AT30">FREQUENCY( M_11, M_11_bins ) / COUNT( M_11 )</f>
        <v>0.01</v>
      </c>
      <c r="AU19">
        <f t="array" ref="AU19:AU30">FREQUENCY( M_12, M_12_bins ) / COUNT( M_12 )</f>
        <v>0.01</v>
      </c>
      <c r="AV19">
        <f t="array" ref="AV19:AV30">FREQUENCY( M_13, M_13_bins ) / COUNT( M_13 )</f>
        <v>0.01</v>
      </c>
      <c r="AW19">
        <f t="array" ref="AW19:AW30">FREQUENCY( M_14, M_14_bins ) / COUNT( M_14 )</f>
        <v>0.01</v>
      </c>
      <c r="AX19">
        <f t="array" ref="AX19:AX30">FREQUENCY( M_15, M_15_bins ) / COUNT( M_15 )</f>
        <v>0.01</v>
      </c>
      <c r="AY19">
        <f t="array" ref="AY19:AY30">FREQUENCY( M_16, M_16_bins ) / COUNT( M_16 )</f>
        <v>0.01</v>
      </c>
      <c r="AZ19">
        <f t="array" ref="AZ19:AZ30">FREQUENCY( M_17, M_17_bins ) / COUNT( M_17 )</f>
        <v>0.01</v>
      </c>
      <c r="BA19">
        <f t="array" ref="BA19:BA30">FREQUENCY( M_18, M_18_bins ) / COUNT( M_18 )</f>
        <v>0.01</v>
      </c>
      <c r="BB19">
        <f t="array" ref="BB19:BB30">FREQUENCY( M_19, M_19_bins ) / COUNT( M_19 )</f>
        <v>0.01</v>
      </c>
      <c r="BC19">
        <f t="array" ref="BC19:BC30">FREQUENCY( M_2, M_2_bins ) / COUNT( M_2 )</f>
        <v>0.01</v>
      </c>
      <c r="BD19">
        <f t="array" ref="BD19:BD30">FREQUENCY( M_20, M_20_bins ) / COUNT( M_20 )</f>
        <v>0.01</v>
      </c>
      <c r="BE19">
        <f t="array" ref="BE19:BE30">FREQUENCY( M_21, M_21_bins ) / COUNT( M_21 )</f>
        <v>0.01</v>
      </c>
      <c r="BF19">
        <f t="array" ref="BF19:BF30">FREQUENCY( M_22, M_22_bins ) / COUNT( M_22 )</f>
        <v>0.01</v>
      </c>
      <c r="BG19">
        <f t="array" ref="BG19:BG30">FREQUENCY( M_23, M_23_bins ) / COUNT( M_23 )</f>
        <v>0.01</v>
      </c>
      <c r="BH19">
        <f t="array" ref="BH19:BH30">FREQUENCY( M_24, M_24_bins ) / COUNT( M_24 )</f>
        <v>0.01</v>
      </c>
      <c r="BI19">
        <f t="array" ref="BI19:BI30">FREQUENCY( M_25, M_25_bins ) / COUNT( M_25 )</f>
        <v>0.01</v>
      </c>
      <c r="BJ19">
        <f t="array" ref="BJ19:BJ30">FREQUENCY( M_26, M_26_bins ) / COUNT( M_26 )</f>
        <v>0.01</v>
      </c>
      <c r="BK19">
        <f t="array" ref="BK19:BK30">FREQUENCY( M_27, M_27_bins ) / COUNT( M_27 )</f>
        <v>0.01</v>
      </c>
      <c r="BL19">
        <f t="array" ref="BL19:BL30">FREQUENCY( M_28, M_28_bins ) / COUNT( M_28 )</f>
        <v>0.01</v>
      </c>
      <c r="BM19">
        <f t="array" ref="BM19:BM30">FREQUENCY( M_29, M_29_bins ) / COUNT( M_29 )</f>
        <v>0.01</v>
      </c>
      <c r="BN19">
        <f t="array" ref="BN19:BN30">FREQUENCY( M_3, M_3_bins ) / COUNT( M_3 )</f>
        <v>0.01</v>
      </c>
      <c r="BO19">
        <f t="array" ref="BO19:BO30">FREQUENCY( M_30, M_30_bins ) / COUNT( M_30 )</f>
        <v>0.01</v>
      </c>
      <c r="BP19">
        <f t="array" ref="BP19:BP30">FREQUENCY( M_31, M_31_bins ) / COUNT( M_31 )</f>
        <v>0.01</v>
      </c>
      <c r="BQ19">
        <f t="array" ref="BQ19:BQ30">FREQUENCY( M_32, M_32_bins ) / COUNT( M_32 )</f>
        <v>0.01</v>
      </c>
      <c r="BR19">
        <f t="array" ref="BR19:BR30">FREQUENCY( M_33, M_33_bins ) / COUNT( M_33 )</f>
        <v>0.01</v>
      </c>
      <c r="BS19">
        <f t="array" ref="BS19:BS30">FREQUENCY( M_34, M_34_bins ) / COUNT( M_34 )</f>
        <v>0.01</v>
      </c>
      <c r="BT19">
        <f t="array" ref="BT19:BT30">FREQUENCY( M_35, M_35_bins ) / COUNT( M_35 )</f>
        <v>0.01</v>
      </c>
      <c r="BU19">
        <f t="array" ref="BU19:BU30">FREQUENCY( M_36, M_36_bins ) / COUNT( M_36 )</f>
        <v>0.01</v>
      </c>
      <c r="BV19">
        <f t="array" ref="BV19:BV30">FREQUENCY( M_4, M_4_bins ) / COUNT( M_4 )</f>
        <v>0.01</v>
      </c>
      <c r="BW19">
        <f t="array" ref="BW19:BW30">FREQUENCY( M_5, M_5_bins ) / COUNT( M_5 )</f>
        <v>0.01</v>
      </c>
      <c r="BX19">
        <f t="array" ref="BX19:BX30">FREQUENCY( M_6, M_6_bins ) / COUNT( M_6 )</f>
        <v>0.01</v>
      </c>
      <c r="BY19">
        <f t="array" ref="BY19:BY30">FREQUENCY( M_7, M_7_bins ) / COUNT( M_7 )</f>
        <v>0.01</v>
      </c>
      <c r="BZ19">
        <f t="array" ref="BZ19:BZ30">FREQUENCY( M_8, M_8_bins ) / COUNT( M_8 )</f>
        <v>0.01</v>
      </c>
      <c r="CA19">
        <f t="array" ref="CA19:CA30">FREQUENCY( M_9, M_9_bins ) / COUNT( M_9 )</f>
        <v>0.01</v>
      </c>
      <c r="CB19">
        <f t="array" ref="CB19:CB30">FREQUENCY( Total_Monthly_Award_Fee, Total_Monthly_Award_Fee_bins ) / COUNT( Total_Monthly_Award_Fee )</f>
        <v>0</v>
      </c>
      <c r="CC19">
        <f t="array" ref="CC19:CC30">FREQUENCY( Total_Monthly_Award_Fee, Total_Monthly_Award_Fee_bins ) / COUNT( Total_Monthly_Award_Fee )</f>
        <v>0</v>
      </c>
      <c r="CD19">
        <f t="array" ref="CD19:CD30">FREQUENCY( Three_Year_Average, Three_Year_Average_bins ) / COUNT( Three_Year_Average )</f>
        <v>0</v>
      </c>
      <c r="CE19">
        <f t="array" ref="CE19:CE30">FREQUENCY( TYA_AF, TYA_AF_bins ) / COUNT( TYA_AF )</f>
        <v>1</v>
      </c>
      <c r="CF19">
        <f t="array" ref="CF19:CF30">FREQUENCY( Total_Monthly_Award_Fee, Total_Monthly_Award_Fee_bins ) / COUNT( Total_Monthly_Award_Fee )</f>
        <v>0</v>
      </c>
      <c r="CG19">
        <f t="array" ref="CG19:CG30">FREQUENCY( Total_Quartery_Award_Fee, Total_Quartery_Award_Fee_bins ) / COUNT( Total_Quartery_Award_Fee )</f>
        <v>0.04</v>
      </c>
      <c r="CH19">
        <f t="array" ref="CH19:CH30">FREQUENCY( Total_Roling_Qtrly_Awrd_Fee, Total_Roling_Qtrly_Awrd_Fee_bins ) / COUNT( Total_Roling_Qtrly_Awrd_Fee )</f>
        <v>0.03</v>
      </c>
      <c r="CI19">
        <f t="array" ref="CI19:CI30">FREQUENCY( TYA_AF, TYA_AF_bins ) / COUNT( TYA_AF )</f>
        <v>1</v>
      </c>
    </row>
    <row r="20" spans="2:87" x14ac:dyDescent="0.2">
      <c r="B20">
        <v>0.03</v>
      </c>
      <c r="C20">
        <v>0.01</v>
      </c>
      <c r="D20">
        <v>0</v>
      </c>
      <c r="E20">
        <v>7.0000000000000007E-2</v>
      </c>
      <c r="F20">
        <v>0.01</v>
      </c>
      <c r="G20">
        <v>0.05</v>
      </c>
      <c r="H20">
        <v>0.02</v>
      </c>
      <c r="I20">
        <v>0</v>
      </c>
      <c r="J20">
        <v>0.02</v>
      </c>
      <c r="K20">
        <v>7.0000000000000007E-2</v>
      </c>
      <c r="L20">
        <v>0.02</v>
      </c>
      <c r="M20">
        <v>0.02</v>
      </c>
      <c r="N20" t="e">
        <v>#DIV/0!</v>
      </c>
      <c r="O20" t="e">
        <v>#DIV/0!</v>
      </c>
      <c r="P20" t="e">
        <v>#DIV/0!</v>
      </c>
      <c r="Q20" t="e">
        <v>#DIV/0!</v>
      </c>
      <c r="R20" t="e">
        <v>#DIV/0!</v>
      </c>
      <c r="S20" t="e">
        <v>#DIV/0!</v>
      </c>
      <c r="T20" t="e">
        <v>#DIV/0!</v>
      </c>
      <c r="U20" t="e">
        <v>#DIV/0!</v>
      </c>
      <c r="V20" t="e">
        <v>#DIV/0!</v>
      </c>
      <c r="W20" t="e">
        <v>#DIV/0!</v>
      </c>
      <c r="X20" t="e">
        <v>#DIV/0!</v>
      </c>
      <c r="Y20" t="e">
        <v>#DIV/0!</v>
      </c>
      <c r="Z20">
        <v>0</v>
      </c>
      <c r="AA20">
        <f>ROUND( $AA$19 + $AA$5, $AA$2 )</f>
        <v>56.5</v>
      </c>
      <c r="AB20">
        <v>0</v>
      </c>
      <c r="AC20">
        <v>0.03</v>
      </c>
      <c r="AD20">
        <v>0.04</v>
      </c>
      <c r="AE20">
        <v>0.01</v>
      </c>
      <c r="AF20">
        <v>0.01</v>
      </c>
      <c r="AG20">
        <v>0.03</v>
      </c>
      <c r="AH20">
        <v>0.01</v>
      </c>
      <c r="AI20">
        <v>0.02</v>
      </c>
      <c r="AJ20">
        <v>0.02</v>
      </c>
      <c r="AK20">
        <v>0.04</v>
      </c>
      <c r="AL20">
        <v>0.02</v>
      </c>
      <c r="AM20">
        <v>0.02</v>
      </c>
      <c r="AN20">
        <v>0.1</v>
      </c>
      <c r="AO20">
        <v>0</v>
      </c>
      <c r="AP20">
        <v>0</v>
      </c>
      <c r="AQ20">
        <v>0</v>
      </c>
      <c r="AR20">
        <v>0.01</v>
      </c>
      <c r="AS20">
        <v>0.01</v>
      </c>
      <c r="AT20">
        <v>0</v>
      </c>
      <c r="AU20">
        <v>0</v>
      </c>
      <c r="AV20">
        <v>0</v>
      </c>
      <c r="AW20">
        <v>0.01</v>
      </c>
      <c r="AX20">
        <v>0</v>
      </c>
      <c r="AY20">
        <v>0.03</v>
      </c>
      <c r="AZ20">
        <v>7.0000000000000007E-2</v>
      </c>
      <c r="BA20">
        <v>0.01</v>
      </c>
      <c r="BB20">
        <v>0</v>
      </c>
      <c r="BC20">
        <v>0.01</v>
      </c>
      <c r="BD20">
        <v>0.01</v>
      </c>
      <c r="BE20">
        <v>0</v>
      </c>
      <c r="BF20">
        <v>0.01</v>
      </c>
      <c r="BG20">
        <v>0.06</v>
      </c>
      <c r="BH20">
        <v>0.02</v>
      </c>
      <c r="BI20">
        <v>0</v>
      </c>
      <c r="BJ20">
        <v>0</v>
      </c>
      <c r="BK20">
        <v>0.05</v>
      </c>
      <c r="BL20">
        <v>0.02</v>
      </c>
      <c r="BM20">
        <v>0.04</v>
      </c>
      <c r="BN20">
        <v>0.04</v>
      </c>
      <c r="BO20">
        <v>0</v>
      </c>
      <c r="BP20">
        <v>0.01</v>
      </c>
      <c r="BQ20">
        <v>0</v>
      </c>
      <c r="BR20">
        <v>0.01</v>
      </c>
      <c r="BS20">
        <v>0.02</v>
      </c>
      <c r="BT20">
        <v>0</v>
      </c>
      <c r="BU20">
        <v>0.01</v>
      </c>
      <c r="BV20">
        <v>0.01</v>
      </c>
      <c r="BW20">
        <v>0.02</v>
      </c>
      <c r="BX20">
        <v>0.04</v>
      </c>
      <c r="BY20">
        <v>0.06</v>
      </c>
      <c r="BZ20">
        <v>0.05</v>
      </c>
      <c r="CA20">
        <v>0.01</v>
      </c>
      <c r="CB20">
        <v>0.02</v>
      </c>
      <c r="CC20">
        <v>0.02</v>
      </c>
      <c r="CD20">
        <v>0.03</v>
      </c>
      <c r="CE20">
        <v>0</v>
      </c>
      <c r="CF20">
        <v>0.02</v>
      </c>
      <c r="CG20">
        <v>0</v>
      </c>
      <c r="CH20">
        <v>0</v>
      </c>
      <c r="CI20">
        <v>0</v>
      </c>
    </row>
    <row r="21" spans="2:87" x14ac:dyDescent="0.2">
      <c r="B21">
        <v>0.03</v>
      </c>
      <c r="C21">
        <v>0.01</v>
      </c>
      <c r="D21">
        <v>0.01</v>
      </c>
      <c r="E21">
        <v>7.0000000000000007E-2</v>
      </c>
      <c r="F21">
        <v>0</v>
      </c>
      <c r="G21">
        <v>7.0000000000000007E-2</v>
      </c>
      <c r="H21">
        <v>0.02</v>
      </c>
      <c r="I21">
        <v>0.01</v>
      </c>
      <c r="J21">
        <v>0.06</v>
      </c>
      <c r="K21">
        <v>0.09</v>
      </c>
      <c r="L21">
        <v>0.03</v>
      </c>
      <c r="M21">
        <v>0.01</v>
      </c>
      <c r="N21" t="e">
        <v>#DIV/0!</v>
      </c>
      <c r="O21" t="e">
        <v>#DIV/0!</v>
      </c>
      <c r="P21" t="e">
        <v>#DIV/0!</v>
      </c>
      <c r="Q21" t="e">
        <v>#DIV/0!</v>
      </c>
      <c r="R21" t="e">
        <v>#DIV/0!</v>
      </c>
      <c r="S21" t="e">
        <v>#DIV/0!</v>
      </c>
      <c r="T21" t="e">
        <v>#DIV/0!</v>
      </c>
      <c r="U21" t="e">
        <v>#DIV/0!</v>
      </c>
      <c r="V21" t="e">
        <v>#DIV/0!</v>
      </c>
      <c r="W21" t="e">
        <v>#DIV/0!</v>
      </c>
      <c r="X21" t="e">
        <v>#DIV/0!</v>
      </c>
      <c r="Y21" t="e">
        <v>#DIV/0!</v>
      </c>
      <c r="Z21">
        <v>0</v>
      </c>
      <c r="AA21">
        <f>ROUND( $AA$20 + $AA$5, $AA$2 )</f>
        <v>57</v>
      </c>
      <c r="AB21">
        <v>0</v>
      </c>
      <c r="AC21">
        <v>0.03</v>
      </c>
      <c r="AD21">
        <v>0.01</v>
      </c>
      <c r="AE21">
        <v>0</v>
      </c>
      <c r="AF21">
        <v>0.04</v>
      </c>
      <c r="AG21">
        <v>0.01</v>
      </c>
      <c r="AH21">
        <v>0</v>
      </c>
      <c r="AI21">
        <v>0.02</v>
      </c>
      <c r="AJ21">
        <v>0.01</v>
      </c>
      <c r="AK21">
        <v>7.0000000000000007E-2</v>
      </c>
      <c r="AL21">
        <v>0.02</v>
      </c>
      <c r="AM21">
        <v>0.03</v>
      </c>
      <c r="AN21">
        <v>0.03</v>
      </c>
      <c r="AO21">
        <v>0</v>
      </c>
      <c r="AP21">
        <v>0</v>
      </c>
      <c r="AQ21">
        <v>0</v>
      </c>
      <c r="AR21">
        <v>0.05</v>
      </c>
      <c r="AS21">
        <v>0.02</v>
      </c>
      <c r="AT21">
        <v>0.02</v>
      </c>
      <c r="AU21">
        <v>0.02</v>
      </c>
      <c r="AV21">
        <v>0.01</v>
      </c>
      <c r="AW21">
        <v>0</v>
      </c>
      <c r="AX21">
        <v>0</v>
      </c>
      <c r="AY21">
        <v>0.03</v>
      </c>
      <c r="AZ21">
        <v>0.1</v>
      </c>
      <c r="BA21">
        <v>0.03</v>
      </c>
      <c r="BB21">
        <v>0.04</v>
      </c>
      <c r="BC21">
        <v>0.03</v>
      </c>
      <c r="BD21">
        <v>0.04</v>
      </c>
      <c r="BE21">
        <v>0.05</v>
      </c>
      <c r="BF21">
        <v>0.01</v>
      </c>
      <c r="BG21">
        <v>0.02</v>
      </c>
      <c r="BH21">
        <v>0.04</v>
      </c>
      <c r="BI21">
        <v>0.06</v>
      </c>
      <c r="BJ21">
        <v>0.03</v>
      </c>
      <c r="BK21">
        <v>0.02</v>
      </c>
      <c r="BL21">
        <v>0.05</v>
      </c>
      <c r="BM21">
        <v>0.05</v>
      </c>
      <c r="BN21">
        <v>0.06</v>
      </c>
      <c r="BO21">
        <v>0.02</v>
      </c>
      <c r="BP21">
        <v>0.02</v>
      </c>
      <c r="BQ21">
        <v>0.01</v>
      </c>
      <c r="BR21">
        <v>0.01</v>
      </c>
      <c r="BS21">
        <v>0</v>
      </c>
      <c r="BT21">
        <v>0.01</v>
      </c>
      <c r="BU21">
        <v>0.02</v>
      </c>
      <c r="BV21">
        <v>0.02</v>
      </c>
      <c r="BW21">
        <v>0.02</v>
      </c>
      <c r="BX21">
        <v>0.1</v>
      </c>
      <c r="BY21">
        <v>0.03</v>
      </c>
      <c r="BZ21">
        <v>0.06</v>
      </c>
      <c r="CA21">
        <v>0.01</v>
      </c>
      <c r="CB21">
        <v>0.04</v>
      </c>
      <c r="CC21">
        <v>0.04</v>
      </c>
      <c r="CD21">
        <v>7.0000000000000007E-2</v>
      </c>
      <c r="CE21">
        <v>0</v>
      </c>
      <c r="CF21">
        <v>0.04</v>
      </c>
      <c r="CG21">
        <v>0</v>
      </c>
      <c r="CH21">
        <v>0</v>
      </c>
      <c r="CI21">
        <v>0</v>
      </c>
    </row>
    <row r="22" spans="2:87" x14ac:dyDescent="0.2">
      <c r="B22">
        <v>0.09</v>
      </c>
      <c r="C22">
        <v>0.15</v>
      </c>
      <c r="D22">
        <v>0.03</v>
      </c>
      <c r="E22">
        <v>0.17</v>
      </c>
      <c r="F22">
        <v>0.05</v>
      </c>
      <c r="G22">
        <v>0.11</v>
      </c>
      <c r="H22">
        <v>0.03</v>
      </c>
      <c r="I22">
        <v>0.09</v>
      </c>
      <c r="J22">
        <v>0.11</v>
      </c>
      <c r="K22">
        <v>0.11</v>
      </c>
      <c r="L22">
        <v>0.09</v>
      </c>
      <c r="M22">
        <v>0.11</v>
      </c>
      <c r="N22" t="e">
        <v>#DIV/0!</v>
      </c>
      <c r="O22" t="e">
        <v>#DIV/0!</v>
      </c>
      <c r="P22" t="e">
        <v>#DIV/0!</v>
      </c>
      <c r="Q22" t="e">
        <v>#DIV/0!</v>
      </c>
      <c r="R22" t="e">
        <v>#DIV/0!</v>
      </c>
      <c r="S22" t="e">
        <v>#DIV/0!</v>
      </c>
      <c r="T22" t="e">
        <v>#DIV/0!</v>
      </c>
      <c r="U22" t="e">
        <v>#DIV/0!</v>
      </c>
      <c r="V22" t="e">
        <v>#DIV/0!</v>
      </c>
      <c r="W22" t="e">
        <v>#DIV/0!</v>
      </c>
      <c r="X22" t="e">
        <v>#DIV/0!</v>
      </c>
      <c r="Y22" t="e">
        <v>#DIV/0!</v>
      </c>
      <c r="Z22">
        <v>0</v>
      </c>
      <c r="AA22">
        <f>ROUND( $AA$21 + $AA$5, $AA$2 )</f>
        <v>57.5</v>
      </c>
      <c r="AB22">
        <v>0</v>
      </c>
      <c r="AC22">
        <v>0.09</v>
      </c>
      <c r="AD22">
        <v>0.06</v>
      </c>
      <c r="AE22">
        <v>0.02</v>
      </c>
      <c r="AF22">
        <v>7.0000000000000007E-2</v>
      </c>
      <c r="AG22">
        <v>0.1</v>
      </c>
      <c r="AH22">
        <v>0.11</v>
      </c>
      <c r="AI22">
        <v>0.06</v>
      </c>
      <c r="AJ22">
        <v>0.08</v>
      </c>
      <c r="AK22">
        <v>0.11</v>
      </c>
      <c r="AL22">
        <v>0.09</v>
      </c>
      <c r="AM22">
        <v>7.0000000000000007E-2</v>
      </c>
      <c r="AN22">
        <v>0.13</v>
      </c>
      <c r="AO22">
        <v>0</v>
      </c>
      <c r="AP22">
        <v>0</v>
      </c>
      <c r="AQ22">
        <v>0</v>
      </c>
      <c r="AR22">
        <v>0.06</v>
      </c>
      <c r="AS22">
        <v>0.04</v>
      </c>
      <c r="AT22">
        <v>0.02</v>
      </c>
      <c r="AU22">
        <v>0.05</v>
      </c>
      <c r="AV22">
        <v>0.08</v>
      </c>
      <c r="AW22">
        <v>7.0000000000000007E-2</v>
      </c>
      <c r="AX22">
        <v>0.04</v>
      </c>
      <c r="AY22">
        <v>0.11</v>
      </c>
      <c r="AZ22">
        <v>7.0000000000000007E-2</v>
      </c>
      <c r="BA22">
        <v>0.03</v>
      </c>
      <c r="BB22">
        <v>7.0000000000000007E-2</v>
      </c>
      <c r="BC22">
        <v>0.1</v>
      </c>
      <c r="BD22">
        <v>0.04</v>
      </c>
      <c r="BE22">
        <v>0.06</v>
      </c>
      <c r="BF22">
        <v>0.08</v>
      </c>
      <c r="BG22">
        <v>0.12</v>
      </c>
      <c r="BH22">
        <v>7.0000000000000007E-2</v>
      </c>
      <c r="BI22">
        <v>0.09</v>
      </c>
      <c r="BJ22">
        <v>0.12</v>
      </c>
      <c r="BK22">
        <v>0.05</v>
      </c>
      <c r="BL22">
        <v>0.04</v>
      </c>
      <c r="BM22">
        <v>0.1</v>
      </c>
      <c r="BN22">
        <v>7.0000000000000007E-2</v>
      </c>
      <c r="BO22">
        <v>0.06</v>
      </c>
      <c r="BP22">
        <v>0.04</v>
      </c>
      <c r="BQ22">
        <v>0.02</v>
      </c>
      <c r="BR22">
        <v>0.06</v>
      </c>
      <c r="BS22">
        <v>0.05</v>
      </c>
      <c r="BT22">
        <v>0.03</v>
      </c>
      <c r="BU22">
        <v>0.12</v>
      </c>
      <c r="BV22">
        <v>0.02</v>
      </c>
      <c r="BW22">
        <v>7.0000000000000007E-2</v>
      </c>
      <c r="BX22">
        <v>0.08</v>
      </c>
      <c r="BY22">
        <v>0.17</v>
      </c>
      <c r="BZ22">
        <v>0.11</v>
      </c>
      <c r="CA22">
        <v>0.03</v>
      </c>
      <c r="CB22">
        <v>0.08</v>
      </c>
      <c r="CC22">
        <v>0.08</v>
      </c>
      <c r="CD22">
        <v>7.0000000000000007E-2</v>
      </c>
      <c r="CE22">
        <v>0</v>
      </c>
      <c r="CF22">
        <v>0.08</v>
      </c>
      <c r="CG22">
        <v>0</v>
      </c>
      <c r="CH22">
        <v>0</v>
      </c>
      <c r="CI22">
        <v>0</v>
      </c>
    </row>
    <row r="23" spans="2:87" x14ac:dyDescent="0.2">
      <c r="B23">
        <v>0.14000000000000001</v>
      </c>
      <c r="C23">
        <v>0.13</v>
      </c>
      <c r="D23">
        <v>7.0000000000000007E-2</v>
      </c>
      <c r="E23">
        <v>0.09</v>
      </c>
      <c r="F23">
        <v>0.12</v>
      </c>
      <c r="G23">
        <v>0.13</v>
      </c>
      <c r="H23">
        <v>0.06</v>
      </c>
      <c r="I23">
        <v>0.15</v>
      </c>
      <c r="J23">
        <v>0.16</v>
      </c>
      <c r="K23">
        <v>0.13</v>
      </c>
      <c r="L23">
        <v>0.09</v>
      </c>
      <c r="M23">
        <v>0.19</v>
      </c>
      <c r="N23" t="e">
        <v>#DIV/0!</v>
      </c>
      <c r="O23" t="e">
        <v>#DIV/0!</v>
      </c>
      <c r="P23" t="e">
        <v>#DIV/0!</v>
      </c>
      <c r="Q23" t="e">
        <v>#DIV/0!</v>
      </c>
      <c r="R23" t="e">
        <v>#DIV/0!</v>
      </c>
      <c r="S23" t="e">
        <v>#DIV/0!</v>
      </c>
      <c r="T23" t="e">
        <v>#DIV/0!</v>
      </c>
      <c r="U23" t="e">
        <v>#DIV/0!</v>
      </c>
      <c r="V23" t="e">
        <v>#DIV/0!</v>
      </c>
      <c r="W23" t="e">
        <v>#DIV/0!</v>
      </c>
      <c r="X23" t="e">
        <v>#DIV/0!</v>
      </c>
      <c r="Y23" t="e">
        <v>#DIV/0!</v>
      </c>
      <c r="Z23">
        <v>0</v>
      </c>
      <c r="AA23">
        <f>ROUND( $AA$22 + $AA$5, $AA$2 )</f>
        <v>58</v>
      </c>
      <c r="AB23">
        <v>0</v>
      </c>
      <c r="AC23">
        <v>0.14000000000000001</v>
      </c>
      <c r="AD23">
        <v>0.06</v>
      </c>
      <c r="AE23">
        <v>0.04</v>
      </c>
      <c r="AF23">
        <v>0.1</v>
      </c>
      <c r="AG23">
        <v>0.11</v>
      </c>
      <c r="AH23">
        <v>0.19</v>
      </c>
      <c r="AI23">
        <v>0.11</v>
      </c>
      <c r="AJ23">
        <v>0.09</v>
      </c>
      <c r="AK23">
        <v>0.16</v>
      </c>
      <c r="AL23">
        <v>0.14000000000000001</v>
      </c>
      <c r="AM23">
        <v>0.23</v>
      </c>
      <c r="AN23">
        <v>0.13</v>
      </c>
      <c r="AO23">
        <v>0</v>
      </c>
      <c r="AP23">
        <v>0</v>
      </c>
      <c r="AQ23">
        <v>0</v>
      </c>
      <c r="AR23">
        <v>0.13</v>
      </c>
      <c r="AS23">
        <v>0.09</v>
      </c>
      <c r="AT23">
        <v>0.02</v>
      </c>
      <c r="AU23">
        <v>0.12</v>
      </c>
      <c r="AV23">
        <v>0.13</v>
      </c>
      <c r="AW23">
        <v>0.14000000000000001</v>
      </c>
      <c r="AX23">
        <v>0.03</v>
      </c>
      <c r="AY23">
        <v>0.16</v>
      </c>
      <c r="AZ23">
        <v>0.22</v>
      </c>
      <c r="BA23">
        <v>0.13</v>
      </c>
      <c r="BB23">
        <v>0.13</v>
      </c>
      <c r="BC23">
        <v>0.09</v>
      </c>
      <c r="BD23">
        <v>0.13</v>
      </c>
      <c r="BE23">
        <v>0.09</v>
      </c>
      <c r="BF23">
        <v>0.22</v>
      </c>
      <c r="BG23">
        <v>0.12</v>
      </c>
      <c r="BH23">
        <v>0.13</v>
      </c>
      <c r="BI23">
        <v>0.09</v>
      </c>
      <c r="BJ23">
        <v>0.19</v>
      </c>
      <c r="BK23">
        <v>0.11</v>
      </c>
      <c r="BL23">
        <v>0.11</v>
      </c>
      <c r="BM23">
        <v>0.12</v>
      </c>
      <c r="BN23">
        <v>0.13</v>
      </c>
      <c r="BO23">
        <v>0.16</v>
      </c>
      <c r="BP23">
        <v>0.12</v>
      </c>
      <c r="BQ23">
        <v>0.09</v>
      </c>
      <c r="BR23">
        <v>0.11</v>
      </c>
      <c r="BS23">
        <v>0.16</v>
      </c>
      <c r="BT23">
        <v>0.14000000000000001</v>
      </c>
      <c r="BU23">
        <v>0.1</v>
      </c>
      <c r="BV23">
        <v>7.0000000000000007E-2</v>
      </c>
      <c r="BW23">
        <v>0.08</v>
      </c>
      <c r="BX23">
        <v>0.19</v>
      </c>
      <c r="BY23">
        <v>0.24</v>
      </c>
      <c r="BZ23">
        <v>0.17</v>
      </c>
      <c r="CA23">
        <v>0.08</v>
      </c>
      <c r="CB23">
        <v>0.17</v>
      </c>
      <c r="CC23">
        <v>0.17</v>
      </c>
      <c r="CD23">
        <v>0.15</v>
      </c>
      <c r="CE23">
        <v>0</v>
      </c>
      <c r="CF23">
        <v>0.17</v>
      </c>
      <c r="CG23">
        <v>0</v>
      </c>
      <c r="CH23">
        <v>0</v>
      </c>
      <c r="CI23">
        <v>0</v>
      </c>
    </row>
    <row r="24" spans="2:87" x14ac:dyDescent="0.2">
      <c r="B24">
        <v>0.23</v>
      </c>
      <c r="C24">
        <v>0.14000000000000001</v>
      </c>
      <c r="D24">
        <v>0.1</v>
      </c>
      <c r="E24">
        <v>0.16</v>
      </c>
      <c r="F24">
        <v>0.15</v>
      </c>
      <c r="G24">
        <v>0.15</v>
      </c>
      <c r="H24">
        <v>0.18</v>
      </c>
      <c r="I24">
        <v>0.22</v>
      </c>
      <c r="J24">
        <v>0.12</v>
      </c>
      <c r="K24">
        <v>0.19</v>
      </c>
      <c r="L24">
        <v>0.19</v>
      </c>
      <c r="M24">
        <v>0.2</v>
      </c>
      <c r="N24" t="e">
        <v>#DIV/0!</v>
      </c>
      <c r="O24" t="e">
        <v>#DIV/0!</v>
      </c>
      <c r="P24" t="e">
        <v>#DIV/0!</v>
      </c>
      <c r="Q24" t="e">
        <v>#DIV/0!</v>
      </c>
      <c r="R24" t="e">
        <v>#DIV/0!</v>
      </c>
      <c r="S24" t="e">
        <v>#DIV/0!</v>
      </c>
      <c r="T24" t="e">
        <v>#DIV/0!</v>
      </c>
      <c r="U24" t="e">
        <v>#DIV/0!</v>
      </c>
      <c r="V24" t="e">
        <v>#DIV/0!</v>
      </c>
      <c r="W24" t="e">
        <v>#DIV/0!</v>
      </c>
      <c r="X24" t="e">
        <v>#DIV/0!</v>
      </c>
      <c r="Y24" t="e">
        <v>#DIV/0!</v>
      </c>
      <c r="Z24">
        <v>0.27</v>
      </c>
      <c r="AA24">
        <f>ROUND( $AA$23 + $AA$5, $AA$2 )</f>
        <v>58.5</v>
      </c>
      <c r="AB24">
        <v>0.27</v>
      </c>
      <c r="AC24">
        <v>0.23</v>
      </c>
      <c r="AD24">
        <v>0.13</v>
      </c>
      <c r="AE24">
        <v>0.16</v>
      </c>
      <c r="AF24">
        <v>0.19</v>
      </c>
      <c r="AG24">
        <v>0.25</v>
      </c>
      <c r="AH24">
        <v>0.21</v>
      </c>
      <c r="AI24">
        <v>0.17</v>
      </c>
      <c r="AJ24">
        <v>0.2</v>
      </c>
      <c r="AK24">
        <v>0.18</v>
      </c>
      <c r="AL24">
        <v>0.18</v>
      </c>
      <c r="AM24">
        <v>0.15</v>
      </c>
      <c r="AN24">
        <v>0.15</v>
      </c>
      <c r="AO24">
        <v>0.27</v>
      </c>
      <c r="AP24">
        <v>0.27</v>
      </c>
      <c r="AQ24">
        <v>0.08</v>
      </c>
      <c r="AR24">
        <v>0.13</v>
      </c>
      <c r="AS24">
        <v>0.12</v>
      </c>
      <c r="AT24">
        <v>0.14000000000000001</v>
      </c>
      <c r="AU24">
        <v>0.18</v>
      </c>
      <c r="AV24">
        <v>0.15</v>
      </c>
      <c r="AW24">
        <v>0.2</v>
      </c>
      <c r="AX24">
        <v>0.14000000000000001</v>
      </c>
      <c r="AY24">
        <v>0.15</v>
      </c>
      <c r="AZ24">
        <v>0.11</v>
      </c>
      <c r="BA24">
        <v>0.16</v>
      </c>
      <c r="BB24">
        <v>0.26</v>
      </c>
      <c r="BC24">
        <v>0.15</v>
      </c>
      <c r="BD24">
        <v>0.11</v>
      </c>
      <c r="BE24">
        <v>0.23</v>
      </c>
      <c r="BF24">
        <v>0.23</v>
      </c>
      <c r="BG24">
        <v>0.3</v>
      </c>
      <c r="BH24">
        <v>0.19</v>
      </c>
      <c r="BI24">
        <v>0.2</v>
      </c>
      <c r="BJ24">
        <v>0.21</v>
      </c>
      <c r="BK24">
        <v>0.11</v>
      </c>
      <c r="BL24">
        <v>0.16</v>
      </c>
      <c r="BM24">
        <v>0.09</v>
      </c>
      <c r="BN24">
        <v>0.22</v>
      </c>
      <c r="BO24">
        <v>0.24</v>
      </c>
      <c r="BP24">
        <v>0.15</v>
      </c>
      <c r="BQ24">
        <v>0.2</v>
      </c>
      <c r="BR24">
        <v>0.11</v>
      </c>
      <c r="BS24">
        <v>0.13</v>
      </c>
      <c r="BT24">
        <v>0.16</v>
      </c>
      <c r="BU24">
        <v>0.12</v>
      </c>
      <c r="BV24">
        <v>0.14000000000000001</v>
      </c>
      <c r="BW24">
        <v>0.2</v>
      </c>
      <c r="BX24">
        <v>0.14000000000000001</v>
      </c>
      <c r="BY24">
        <v>0.15</v>
      </c>
      <c r="BZ24">
        <v>0.13</v>
      </c>
      <c r="CA24">
        <v>0.18</v>
      </c>
      <c r="CB24">
        <v>0.27</v>
      </c>
      <c r="CC24">
        <v>0.27</v>
      </c>
      <c r="CD24">
        <v>0.16</v>
      </c>
      <c r="CE24">
        <v>0</v>
      </c>
      <c r="CF24">
        <v>0.27</v>
      </c>
      <c r="CG24">
        <v>0.27</v>
      </c>
      <c r="CH24">
        <v>0.08</v>
      </c>
      <c r="CI24">
        <v>0</v>
      </c>
    </row>
    <row r="25" spans="2:87" x14ac:dyDescent="0.2">
      <c r="B25">
        <v>0.13</v>
      </c>
      <c r="C25">
        <v>0.19</v>
      </c>
      <c r="D25">
        <v>0.18</v>
      </c>
      <c r="E25">
        <v>0.13</v>
      </c>
      <c r="F25">
        <v>0.22</v>
      </c>
      <c r="G25">
        <v>0.14000000000000001</v>
      </c>
      <c r="H25">
        <v>0.16</v>
      </c>
      <c r="I25">
        <v>0.22</v>
      </c>
      <c r="J25">
        <v>0.15</v>
      </c>
      <c r="K25">
        <v>0.17</v>
      </c>
      <c r="L25">
        <v>0.22</v>
      </c>
      <c r="M25">
        <v>0.23</v>
      </c>
      <c r="N25" t="e">
        <v>#DIV/0!</v>
      </c>
      <c r="O25" t="e">
        <v>#DIV/0!</v>
      </c>
      <c r="P25" t="e">
        <v>#DIV/0!</v>
      </c>
      <c r="Q25" t="e">
        <v>#DIV/0!</v>
      </c>
      <c r="R25" t="e">
        <v>#DIV/0!</v>
      </c>
      <c r="S25" t="e">
        <v>#DIV/0!</v>
      </c>
      <c r="T25" t="e">
        <v>#DIV/0!</v>
      </c>
      <c r="U25" t="e">
        <v>#DIV/0!</v>
      </c>
      <c r="V25" t="e">
        <v>#DIV/0!</v>
      </c>
      <c r="W25" t="e">
        <v>#DIV/0!</v>
      </c>
      <c r="X25" t="e">
        <v>#DIV/0!</v>
      </c>
      <c r="Y25" t="e">
        <v>#DIV/0!</v>
      </c>
      <c r="Z25">
        <v>0</v>
      </c>
      <c r="AA25">
        <f>ROUND( $AA$24 + $AA$5, $AA$2 )</f>
        <v>59</v>
      </c>
      <c r="AB25">
        <v>0</v>
      </c>
      <c r="AC25">
        <v>0.13</v>
      </c>
      <c r="AD25">
        <v>0.17</v>
      </c>
      <c r="AE25">
        <v>0.15</v>
      </c>
      <c r="AF25">
        <v>0.21</v>
      </c>
      <c r="AG25">
        <v>0.18</v>
      </c>
      <c r="AH25">
        <v>0.14000000000000001</v>
      </c>
      <c r="AI25">
        <v>0.18</v>
      </c>
      <c r="AJ25">
        <v>0.17</v>
      </c>
      <c r="AK25">
        <v>0.11</v>
      </c>
      <c r="AL25">
        <v>0.15</v>
      </c>
      <c r="AM25">
        <v>0.19</v>
      </c>
      <c r="AN25">
        <v>0.14000000000000001</v>
      </c>
      <c r="AO25">
        <v>0</v>
      </c>
      <c r="AP25">
        <v>0</v>
      </c>
      <c r="AQ25">
        <v>0</v>
      </c>
      <c r="AR25">
        <v>0.19</v>
      </c>
      <c r="AS25">
        <v>0.15</v>
      </c>
      <c r="AT25">
        <v>0.2</v>
      </c>
      <c r="AU25">
        <v>0.19</v>
      </c>
      <c r="AV25">
        <v>0.18</v>
      </c>
      <c r="AW25">
        <v>0.24</v>
      </c>
      <c r="AX25">
        <v>0.28000000000000003</v>
      </c>
      <c r="AY25">
        <v>0.2</v>
      </c>
      <c r="AZ25">
        <v>0.14000000000000001</v>
      </c>
      <c r="BA25">
        <v>0.3</v>
      </c>
      <c r="BB25">
        <v>0.24</v>
      </c>
      <c r="BC25">
        <v>0.24</v>
      </c>
      <c r="BD25">
        <v>0.17</v>
      </c>
      <c r="BE25">
        <v>0.18</v>
      </c>
      <c r="BF25">
        <v>0.21</v>
      </c>
      <c r="BG25">
        <v>0.09</v>
      </c>
      <c r="BH25">
        <v>0.23</v>
      </c>
      <c r="BI25">
        <v>0.15</v>
      </c>
      <c r="BJ25">
        <v>0.2</v>
      </c>
      <c r="BK25">
        <v>0.25</v>
      </c>
      <c r="BL25">
        <v>0.17</v>
      </c>
      <c r="BM25">
        <v>0.19</v>
      </c>
      <c r="BN25">
        <v>0.21</v>
      </c>
      <c r="BO25">
        <v>0.18</v>
      </c>
      <c r="BP25">
        <v>0.18</v>
      </c>
      <c r="BQ25">
        <v>0.24</v>
      </c>
      <c r="BR25">
        <v>0.13</v>
      </c>
      <c r="BS25">
        <v>0.18</v>
      </c>
      <c r="BT25">
        <v>0.18</v>
      </c>
      <c r="BU25">
        <v>0.18</v>
      </c>
      <c r="BV25">
        <v>0.26</v>
      </c>
      <c r="BW25">
        <v>0.17</v>
      </c>
      <c r="BX25">
        <v>0.11</v>
      </c>
      <c r="BY25">
        <v>0.14000000000000001</v>
      </c>
      <c r="BZ25">
        <v>0.1</v>
      </c>
      <c r="CA25">
        <v>0.2</v>
      </c>
      <c r="CB25">
        <v>0.17</v>
      </c>
      <c r="CC25">
        <v>0.17</v>
      </c>
      <c r="CD25">
        <v>0.18</v>
      </c>
      <c r="CE25">
        <v>0</v>
      </c>
      <c r="CF25">
        <v>0.17</v>
      </c>
      <c r="CG25">
        <v>0</v>
      </c>
      <c r="CH25">
        <v>0</v>
      </c>
      <c r="CI25">
        <v>0</v>
      </c>
    </row>
    <row r="26" spans="2:87" x14ac:dyDescent="0.2">
      <c r="B26">
        <v>0.15</v>
      </c>
      <c r="C26">
        <v>0.2</v>
      </c>
      <c r="D26">
        <v>0.26</v>
      </c>
      <c r="E26">
        <v>0.1</v>
      </c>
      <c r="F26">
        <v>0.17</v>
      </c>
      <c r="G26">
        <v>0.13</v>
      </c>
      <c r="H26">
        <v>0.24</v>
      </c>
      <c r="I26">
        <v>0.08</v>
      </c>
      <c r="J26">
        <v>0.18</v>
      </c>
      <c r="K26">
        <v>0.1</v>
      </c>
      <c r="L26">
        <v>0.16</v>
      </c>
      <c r="M26">
        <v>0.13</v>
      </c>
      <c r="N26" t="e">
        <v>#DIV/0!</v>
      </c>
      <c r="O26" t="e">
        <v>#DIV/0!</v>
      </c>
      <c r="P26" t="e">
        <v>#DIV/0!</v>
      </c>
      <c r="Q26" t="e">
        <v>#DIV/0!</v>
      </c>
      <c r="R26" t="e">
        <v>#DIV/0!</v>
      </c>
      <c r="S26" t="e">
        <v>#DIV/0!</v>
      </c>
      <c r="T26" t="e">
        <v>#DIV/0!</v>
      </c>
      <c r="U26" t="e">
        <v>#DIV/0!</v>
      </c>
      <c r="V26" t="e">
        <v>#DIV/0!</v>
      </c>
      <c r="W26" t="e">
        <v>#DIV/0!</v>
      </c>
      <c r="X26" t="e">
        <v>#DIV/0!</v>
      </c>
      <c r="Y26" t="e">
        <v>#DIV/0!</v>
      </c>
      <c r="Z26">
        <v>0</v>
      </c>
      <c r="AA26">
        <f>ROUND( $AA$25 + $AA$5, $AA$2 )</f>
        <v>59.5</v>
      </c>
      <c r="AB26">
        <v>0</v>
      </c>
      <c r="AC26">
        <v>0.15</v>
      </c>
      <c r="AD26">
        <v>0.11</v>
      </c>
      <c r="AE26">
        <v>0.19</v>
      </c>
      <c r="AF26">
        <v>0.17</v>
      </c>
      <c r="AG26">
        <v>0.13</v>
      </c>
      <c r="AH26">
        <v>0.12</v>
      </c>
      <c r="AI26">
        <v>0.18</v>
      </c>
      <c r="AJ26">
        <v>0.23</v>
      </c>
      <c r="AK26">
        <v>0.08</v>
      </c>
      <c r="AL26">
        <v>0.23</v>
      </c>
      <c r="AM26">
        <v>0.13</v>
      </c>
      <c r="AN26">
        <v>0.08</v>
      </c>
      <c r="AO26">
        <v>0</v>
      </c>
      <c r="AP26">
        <v>0</v>
      </c>
      <c r="AQ26">
        <v>0</v>
      </c>
      <c r="AR26">
        <v>0.14000000000000001</v>
      </c>
      <c r="AS26">
        <v>0.14000000000000001</v>
      </c>
      <c r="AT26">
        <v>0.21</v>
      </c>
      <c r="AU26">
        <v>0.14000000000000001</v>
      </c>
      <c r="AV26">
        <v>0.22</v>
      </c>
      <c r="AW26">
        <v>0.13</v>
      </c>
      <c r="AX26">
        <v>0.24</v>
      </c>
      <c r="AY26">
        <v>0.12</v>
      </c>
      <c r="AZ26">
        <v>0.13</v>
      </c>
      <c r="BA26">
        <v>0.18</v>
      </c>
      <c r="BB26">
        <v>0.1</v>
      </c>
      <c r="BC26">
        <v>0.13</v>
      </c>
      <c r="BD26">
        <v>0.23</v>
      </c>
      <c r="BE26">
        <v>0.18</v>
      </c>
      <c r="BF26">
        <v>0.16</v>
      </c>
      <c r="BG26">
        <v>0.08</v>
      </c>
      <c r="BH26">
        <v>0.15</v>
      </c>
      <c r="BI26">
        <v>0.26</v>
      </c>
      <c r="BJ26">
        <v>0.14000000000000001</v>
      </c>
      <c r="BK26">
        <v>0.12</v>
      </c>
      <c r="BL26">
        <v>0.15</v>
      </c>
      <c r="BM26">
        <v>0.22</v>
      </c>
      <c r="BN26">
        <v>0.14000000000000001</v>
      </c>
      <c r="BO26">
        <v>0.21</v>
      </c>
      <c r="BP26">
        <v>0.22</v>
      </c>
      <c r="BQ26">
        <v>0.23</v>
      </c>
      <c r="BR26">
        <v>0.18</v>
      </c>
      <c r="BS26">
        <v>0.22</v>
      </c>
      <c r="BT26">
        <v>0.15</v>
      </c>
      <c r="BU26">
        <v>0.15</v>
      </c>
      <c r="BV26">
        <v>0.18</v>
      </c>
      <c r="BW26">
        <v>0.15</v>
      </c>
      <c r="BX26">
        <v>0.14000000000000001</v>
      </c>
      <c r="BY26">
        <v>0.11</v>
      </c>
      <c r="BZ26">
        <v>0.18</v>
      </c>
      <c r="CA26">
        <v>0.16</v>
      </c>
      <c r="CB26">
        <v>0.25</v>
      </c>
      <c r="CC26">
        <v>0.25</v>
      </c>
      <c r="CD26">
        <v>0.14000000000000001</v>
      </c>
      <c r="CE26">
        <v>0</v>
      </c>
      <c r="CF26">
        <v>0.25</v>
      </c>
      <c r="CG26">
        <v>0</v>
      </c>
      <c r="CH26">
        <v>0</v>
      </c>
      <c r="CI26">
        <v>0</v>
      </c>
    </row>
    <row r="27" spans="2:87" x14ac:dyDescent="0.2">
      <c r="B27">
        <v>0.1</v>
      </c>
      <c r="C27">
        <v>7.0000000000000007E-2</v>
      </c>
      <c r="D27">
        <v>0.21</v>
      </c>
      <c r="E27">
        <v>0.11</v>
      </c>
      <c r="F27">
        <v>0.17</v>
      </c>
      <c r="G27">
        <v>0.06</v>
      </c>
      <c r="H27">
        <v>0.18</v>
      </c>
      <c r="I27">
        <v>0.16</v>
      </c>
      <c r="J27">
        <v>0.09</v>
      </c>
      <c r="K27">
        <v>7.0000000000000007E-2</v>
      </c>
      <c r="L27">
        <v>0.11</v>
      </c>
      <c r="M27">
        <v>0.09</v>
      </c>
      <c r="N27" t="e">
        <v>#DIV/0!</v>
      </c>
      <c r="O27" t="e">
        <v>#DIV/0!</v>
      </c>
      <c r="P27" t="e">
        <v>#DIV/0!</v>
      </c>
      <c r="Q27" t="e">
        <v>#DIV/0!</v>
      </c>
      <c r="R27" t="e">
        <v>#DIV/0!</v>
      </c>
      <c r="S27" t="e">
        <v>#DIV/0!</v>
      </c>
      <c r="T27" t="e">
        <v>#DIV/0!</v>
      </c>
      <c r="U27" t="e">
        <v>#DIV/0!</v>
      </c>
      <c r="V27" t="e">
        <v>#DIV/0!</v>
      </c>
      <c r="W27" t="e">
        <v>#DIV/0!</v>
      </c>
      <c r="X27" t="e">
        <v>#DIV/0!</v>
      </c>
      <c r="Y27" t="e">
        <v>#DIV/0!</v>
      </c>
      <c r="Z27">
        <v>0</v>
      </c>
      <c r="AA27">
        <f>ROUND( $AA$26 + $AA$5, $AA$2 )</f>
        <v>60</v>
      </c>
      <c r="AB27">
        <v>0</v>
      </c>
      <c r="AC27">
        <v>0.1</v>
      </c>
      <c r="AD27">
        <v>0.17</v>
      </c>
      <c r="AE27">
        <v>0.17</v>
      </c>
      <c r="AF27">
        <v>0.13</v>
      </c>
      <c r="AG27">
        <v>0.09</v>
      </c>
      <c r="AH27">
        <v>0.14000000000000001</v>
      </c>
      <c r="AI27">
        <v>0.17</v>
      </c>
      <c r="AJ27">
        <v>0.11</v>
      </c>
      <c r="AK27">
        <v>0.1</v>
      </c>
      <c r="AL27">
        <v>0.08</v>
      </c>
      <c r="AM27">
        <v>0.11</v>
      </c>
      <c r="AN27">
        <v>0.1</v>
      </c>
      <c r="AO27">
        <v>0</v>
      </c>
      <c r="AP27">
        <v>0</v>
      </c>
      <c r="AQ27">
        <v>0</v>
      </c>
      <c r="AR27">
        <v>0.13</v>
      </c>
      <c r="AS27">
        <v>0.19</v>
      </c>
      <c r="AT27">
        <v>0.17</v>
      </c>
      <c r="AU27">
        <v>0.14000000000000001</v>
      </c>
      <c r="AV27">
        <v>0.14000000000000001</v>
      </c>
      <c r="AW27">
        <v>0.1</v>
      </c>
      <c r="AX27">
        <v>0.16</v>
      </c>
      <c r="AY27">
        <v>0.14000000000000001</v>
      </c>
      <c r="AZ27">
        <v>0.06</v>
      </c>
      <c r="BA27">
        <v>0.11</v>
      </c>
      <c r="BB27">
        <v>0.12</v>
      </c>
      <c r="BC27">
        <v>0.18</v>
      </c>
      <c r="BD27">
        <v>0.16</v>
      </c>
      <c r="BE27">
        <v>0.11</v>
      </c>
      <c r="BF27">
        <v>0.05</v>
      </c>
      <c r="BG27">
        <v>0.15</v>
      </c>
      <c r="BH27">
        <v>0.06</v>
      </c>
      <c r="BI27">
        <v>0.1</v>
      </c>
      <c r="BJ27">
        <v>7.0000000000000007E-2</v>
      </c>
      <c r="BK27">
        <v>0.15</v>
      </c>
      <c r="BL27">
        <v>0.15</v>
      </c>
      <c r="BM27">
        <v>0.05</v>
      </c>
      <c r="BN27">
        <v>0.04</v>
      </c>
      <c r="BO27">
        <v>0.06</v>
      </c>
      <c r="BP27">
        <v>0.11</v>
      </c>
      <c r="BQ27">
        <v>0.14000000000000001</v>
      </c>
      <c r="BR27">
        <v>0.23</v>
      </c>
      <c r="BS27">
        <v>7.0000000000000007E-2</v>
      </c>
      <c r="BT27">
        <v>0.14000000000000001</v>
      </c>
      <c r="BU27">
        <v>0.19</v>
      </c>
      <c r="BV27">
        <v>0.19</v>
      </c>
      <c r="BW27">
        <v>0.14000000000000001</v>
      </c>
      <c r="BX27">
        <v>0.09</v>
      </c>
      <c r="BY27">
        <v>0.08</v>
      </c>
      <c r="BZ27">
        <v>0.09</v>
      </c>
      <c r="CA27">
        <v>0.15</v>
      </c>
      <c r="CB27">
        <v>0</v>
      </c>
      <c r="CC27">
        <v>0</v>
      </c>
      <c r="CD27">
        <v>0.1</v>
      </c>
      <c r="CE27">
        <v>0</v>
      </c>
      <c r="CF27">
        <v>0</v>
      </c>
      <c r="CG27">
        <v>0</v>
      </c>
      <c r="CH27">
        <v>0</v>
      </c>
      <c r="CI27">
        <v>0</v>
      </c>
    </row>
    <row r="28" spans="2:87" x14ac:dyDescent="0.2">
      <c r="B28">
        <v>0.09</v>
      </c>
      <c r="C28">
        <v>0.08</v>
      </c>
      <c r="D28">
        <v>0.09</v>
      </c>
      <c r="E28">
        <v>7.0000000000000007E-2</v>
      </c>
      <c r="F28">
        <v>0.08</v>
      </c>
      <c r="G28">
        <v>0.1</v>
      </c>
      <c r="H28">
        <v>0.08</v>
      </c>
      <c r="I28">
        <v>0.05</v>
      </c>
      <c r="J28">
        <v>0.04</v>
      </c>
      <c r="K28">
        <v>0.04</v>
      </c>
      <c r="L28">
        <v>0.06</v>
      </c>
      <c r="M28">
        <v>0.01</v>
      </c>
      <c r="N28" t="e">
        <v>#DIV/0!</v>
      </c>
      <c r="O28" t="e">
        <v>#DIV/0!</v>
      </c>
      <c r="P28" t="e">
        <v>#DIV/0!</v>
      </c>
      <c r="Q28" t="e">
        <v>#DIV/0!</v>
      </c>
      <c r="R28" t="e">
        <v>#DIV/0!</v>
      </c>
      <c r="S28" t="e">
        <v>#DIV/0!</v>
      </c>
      <c r="T28" t="e">
        <v>#DIV/0!</v>
      </c>
      <c r="U28" t="e">
        <v>#DIV/0!</v>
      </c>
      <c r="V28" t="e">
        <v>#DIV/0!</v>
      </c>
      <c r="W28" t="e">
        <v>#DIV/0!</v>
      </c>
      <c r="X28" t="e">
        <v>#DIV/0!</v>
      </c>
      <c r="Y28" t="e">
        <v>#DIV/0!</v>
      </c>
      <c r="Z28">
        <v>0</v>
      </c>
      <c r="AA28">
        <f>ROUND( $AA$27 + $AA$5, $AA$2 )</f>
        <v>60.5</v>
      </c>
      <c r="AB28">
        <v>0</v>
      </c>
      <c r="AC28">
        <v>0.09</v>
      </c>
      <c r="AD28">
        <v>0.15</v>
      </c>
      <c r="AE28">
        <v>0.15</v>
      </c>
      <c r="AF28">
        <v>0.06</v>
      </c>
      <c r="AG28">
        <v>0.08</v>
      </c>
      <c r="AH28">
        <v>0.05</v>
      </c>
      <c r="AI28">
        <v>0.04</v>
      </c>
      <c r="AJ28">
        <v>0.05</v>
      </c>
      <c r="AK28">
        <v>0.1</v>
      </c>
      <c r="AL28">
        <v>0.08</v>
      </c>
      <c r="AM28">
        <v>0.02</v>
      </c>
      <c r="AN28">
        <v>0.08</v>
      </c>
      <c r="AO28">
        <v>0</v>
      </c>
      <c r="AP28">
        <v>0</v>
      </c>
      <c r="AQ28">
        <v>0</v>
      </c>
      <c r="AR28">
        <v>0.06</v>
      </c>
      <c r="AS28">
        <v>0.15</v>
      </c>
      <c r="AT28">
        <v>0.16</v>
      </c>
      <c r="AU28">
        <v>0.09</v>
      </c>
      <c r="AV28">
        <v>0.06</v>
      </c>
      <c r="AW28">
        <v>7.0000000000000007E-2</v>
      </c>
      <c r="AX28">
        <v>7.0000000000000007E-2</v>
      </c>
      <c r="AY28">
        <v>0.04</v>
      </c>
      <c r="AZ28">
        <v>0.06</v>
      </c>
      <c r="BA28">
        <v>0.03</v>
      </c>
      <c r="BB28">
        <v>0.02</v>
      </c>
      <c r="BC28">
        <v>0.04</v>
      </c>
      <c r="BD28">
        <v>0.05</v>
      </c>
      <c r="BE28">
        <v>0.03</v>
      </c>
      <c r="BF28">
        <v>0.01</v>
      </c>
      <c r="BG28">
        <v>0.02</v>
      </c>
      <c r="BH28">
        <v>0.08</v>
      </c>
      <c r="BI28">
        <v>0</v>
      </c>
      <c r="BJ28">
        <v>0.02</v>
      </c>
      <c r="BK28">
        <v>0.1</v>
      </c>
      <c r="BL28">
        <v>0.09</v>
      </c>
      <c r="BM28">
        <v>0.08</v>
      </c>
      <c r="BN28">
        <v>0.06</v>
      </c>
      <c r="BO28">
        <v>0.03</v>
      </c>
      <c r="BP28">
        <v>0.08</v>
      </c>
      <c r="BQ28">
        <v>0.03</v>
      </c>
      <c r="BR28">
        <v>0.11</v>
      </c>
      <c r="BS28">
        <v>0.08</v>
      </c>
      <c r="BT28">
        <v>0.11</v>
      </c>
      <c r="BU28">
        <v>0.05</v>
      </c>
      <c r="BV28">
        <v>0.05</v>
      </c>
      <c r="BW28">
        <v>0.11</v>
      </c>
      <c r="BX28">
        <v>0.05</v>
      </c>
      <c r="BY28">
        <v>0</v>
      </c>
      <c r="BZ28">
        <v>7.0000000000000007E-2</v>
      </c>
      <c r="CA28">
        <v>0.1</v>
      </c>
      <c r="CB28">
        <v>0</v>
      </c>
      <c r="CC28">
        <v>0</v>
      </c>
      <c r="CD28">
        <v>0.06</v>
      </c>
      <c r="CE28">
        <v>0</v>
      </c>
      <c r="CF28">
        <v>0</v>
      </c>
      <c r="CG28">
        <v>0</v>
      </c>
      <c r="CH28">
        <v>0</v>
      </c>
      <c r="CI28">
        <v>0</v>
      </c>
    </row>
    <row r="29" spans="2:87" x14ac:dyDescent="0.2">
      <c r="B29">
        <v>0.01</v>
      </c>
      <c r="C29">
        <v>0.02</v>
      </c>
      <c r="D29">
        <v>0.04</v>
      </c>
      <c r="E29">
        <v>0.02</v>
      </c>
      <c r="F29">
        <v>0.03</v>
      </c>
      <c r="G29">
        <v>0.06</v>
      </c>
      <c r="H29">
        <v>0.03</v>
      </c>
      <c r="I29">
        <v>0</v>
      </c>
      <c r="J29">
        <v>0.06</v>
      </c>
      <c r="K29">
        <v>0.03</v>
      </c>
      <c r="L29">
        <v>0.03</v>
      </c>
      <c r="M29">
        <v>0</v>
      </c>
      <c r="N29" t="e">
        <v>#DIV/0!</v>
      </c>
      <c r="O29" t="e">
        <v>#DIV/0!</v>
      </c>
      <c r="P29" t="e">
        <v>#DIV/0!</v>
      </c>
      <c r="Q29" t="e">
        <v>#DIV/0!</v>
      </c>
      <c r="R29" t="e">
        <v>#DIV/0!</v>
      </c>
      <c r="S29" t="e">
        <v>#DIV/0!</v>
      </c>
      <c r="T29" t="e">
        <v>#DIV/0!</v>
      </c>
      <c r="U29" t="e">
        <v>#DIV/0!</v>
      </c>
      <c r="V29" t="e">
        <v>#DIV/0!</v>
      </c>
      <c r="W29" t="e">
        <v>#DIV/0!</v>
      </c>
      <c r="X29" t="e">
        <v>#DIV/0!</v>
      </c>
      <c r="Y29" t="e">
        <v>#DIV/0!</v>
      </c>
      <c r="Z29">
        <v>0.69</v>
      </c>
      <c r="AA29">
        <f t="array" ref="AA29:AA50">FREQUENCY( Total_Quartery_Award_Fee, Total_Quartery_Award_Fee_bins ) / COUNT( Total_Quartery_Award_Fee )</f>
        <v>0.04</v>
      </c>
      <c r="AB29">
        <v>0.69</v>
      </c>
      <c r="AC29">
        <v>0.01</v>
      </c>
      <c r="AD29">
        <v>0.1</v>
      </c>
      <c r="AE29">
        <v>0.11</v>
      </c>
      <c r="AF29">
        <v>0.02</v>
      </c>
      <c r="AG29">
        <v>0.02</v>
      </c>
      <c r="AH29">
        <v>0.03</v>
      </c>
      <c r="AI29">
        <v>0.05</v>
      </c>
      <c r="AJ29">
        <v>0.04</v>
      </c>
      <c r="AK29">
        <v>0.05</v>
      </c>
      <c r="AL29">
        <v>0.01</v>
      </c>
      <c r="AM29">
        <v>0.04</v>
      </c>
      <c r="AN29">
        <v>0.06</v>
      </c>
      <c r="AO29">
        <v>0.69</v>
      </c>
      <c r="AP29">
        <v>0.69</v>
      </c>
      <c r="AQ29">
        <v>0.89</v>
      </c>
      <c r="AR29">
        <v>0.09</v>
      </c>
      <c r="AS29">
        <v>0.08</v>
      </c>
      <c r="AT29">
        <v>0.05</v>
      </c>
      <c r="AU29">
        <v>0.06</v>
      </c>
      <c r="AV29">
        <v>0.02</v>
      </c>
      <c r="AW29">
        <v>0.03</v>
      </c>
      <c r="AX29">
        <v>0.03</v>
      </c>
      <c r="AY29">
        <v>0.01</v>
      </c>
      <c r="AZ29">
        <v>0.03</v>
      </c>
      <c r="BA29">
        <v>0.01</v>
      </c>
      <c r="BB29">
        <v>0.01</v>
      </c>
      <c r="BC29">
        <v>0.02</v>
      </c>
      <c r="BD29">
        <v>0.05</v>
      </c>
      <c r="BE29">
        <v>0.06</v>
      </c>
      <c r="BF29">
        <v>0.01</v>
      </c>
      <c r="BG29">
        <v>0.03</v>
      </c>
      <c r="BH29">
        <v>0.02</v>
      </c>
      <c r="BI29">
        <v>0.04</v>
      </c>
      <c r="BJ29">
        <v>0.01</v>
      </c>
      <c r="BK29">
        <v>0.03</v>
      </c>
      <c r="BL29">
        <v>0.05</v>
      </c>
      <c r="BM29">
        <v>0.05</v>
      </c>
      <c r="BN29">
        <v>0.02</v>
      </c>
      <c r="BO29">
        <v>0.03</v>
      </c>
      <c r="BP29">
        <v>0.06</v>
      </c>
      <c r="BQ29">
        <v>0.03</v>
      </c>
      <c r="BR29">
        <v>0.04</v>
      </c>
      <c r="BS29">
        <v>0.08</v>
      </c>
      <c r="BT29">
        <v>7.0000000000000007E-2</v>
      </c>
      <c r="BU29">
        <v>0.05</v>
      </c>
      <c r="BV29">
        <v>0.05</v>
      </c>
      <c r="BW29">
        <v>0.03</v>
      </c>
      <c r="BX29">
        <v>0.05</v>
      </c>
      <c r="BY29">
        <v>0.01</v>
      </c>
      <c r="BZ29">
        <v>0.03</v>
      </c>
      <c r="CA29">
        <v>7.0000000000000007E-2</v>
      </c>
      <c r="CB29">
        <v>0</v>
      </c>
      <c r="CC29">
        <v>0</v>
      </c>
      <c r="CD29">
        <v>0.04</v>
      </c>
      <c r="CE29">
        <v>0</v>
      </c>
      <c r="CF29">
        <v>0</v>
      </c>
      <c r="CG29">
        <v>0.69</v>
      </c>
      <c r="CH29">
        <v>0.89</v>
      </c>
      <c r="CI29">
        <v>0</v>
      </c>
    </row>
    <row r="30" spans="2:87" x14ac:dyDescent="0.2"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0.01</v>
      </c>
      <c r="J30">
        <v>0</v>
      </c>
      <c r="K30">
        <v>0</v>
      </c>
      <c r="L30">
        <v>0</v>
      </c>
      <c r="M30">
        <v>0.01</v>
      </c>
      <c r="N30" t="e">
        <v>#DIV/0!</v>
      </c>
      <c r="O30" t="e">
        <v>#DIV/0!</v>
      </c>
      <c r="P30" t="e">
        <v>#DIV/0!</v>
      </c>
      <c r="Q30" t="e">
        <v>#DIV/0!</v>
      </c>
      <c r="R30" t="e">
        <v>#DIV/0!</v>
      </c>
      <c r="S30" t="e">
        <v>#DIV/0!</v>
      </c>
      <c r="T30" t="e">
        <v>#DIV/0!</v>
      </c>
      <c r="U30" t="e">
        <v>#DIV/0!</v>
      </c>
      <c r="V30" t="e">
        <v>#DIV/0!</v>
      </c>
      <c r="W30" t="e">
        <v>#DIV/0!</v>
      </c>
      <c r="X30" t="e">
        <v>#DIV/0!</v>
      </c>
      <c r="Y30" t="e">
        <v>#DIV/0!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</row>
    <row r="31" spans="2:87" x14ac:dyDescent="0.2">
      <c r="AA31">
        <v>0</v>
      </c>
    </row>
    <row r="32" spans="2:87" x14ac:dyDescent="0.2">
      <c r="B32">
        <f t="shared" ref="B32:Z32" si="0">B19</f>
        <v>0</v>
      </c>
      <c r="C32">
        <f t="shared" si="0"/>
        <v>0</v>
      </c>
      <c r="D32">
        <f t="shared" si="0"/>
        <v>0.01</v>
      </c>
      <c r="E32">
        <f t="shared" si="0"/>
        <v>0.01</v>
      </c>
      <c r="F32">
        <f t="shared" si="0"/>
        <v>0</v>
      </c>
      <c r="G32">
        <f t="shared" si="0"/>
        <v>0</v>
      </c>
      <c r="H32">
        <f t="shared" si="0"/>
        <v>0</v>
      </c>
      <c r="I32">
        <f t="shared" si="0"/>
        <v>0.01</v>
      </c>
      <c r="J32">
        <f t="shared" si="0"/>
        <v>0.01</v>
      </c>
      <c r="K32">
        <f t="shared" si="0"/>
        <v>0</v>
      </c>
      <c r="L32">
        <f t="shared" si="0"/>
        <v>0</v>
      </c>
      <c r="M32">
        <f t="shared" si="0"/>
        <v>0</v>
      </c>
      <c r="N32" t="e">
        <f t="shared" si="0"/>
        <v>#DIV/0!</v>
      </c>
      <c r="O32" t="e">
        <f t="shared" si="0"/>
        <v>#DIV/0!</v>
      </c>
      <c r="P32" t="e">
        <f t="shared" si="0"/>
        <v>#DIV/0!</v>
      </c>
      <c r="Q32" t="e">
        <f t="shared" si="0"/>
        <v>#DIV/0!</v>
      </c>
      <c r="R32" t="e">
        <f t="shared" si="0"/>
        <v>#DIV/0!</v>
      </c>
      <c r="S32" t="e">
        <f t="shared" si="0"/>
        <v>#DIV/0!</v>
      </c>
      <c r="T32" t="e">
        <f t="shared" si="0"/>
        <v>#DIV/0!</v>
      </c>
      <c r="U32" t="e">
        <f t="shared" si="0"/>
        <v>#DIV/0!</v>
      </c>
      <c r="V32" t="e">
        <f t="shared" si="0"/>
        <v>#DIV/0!</v>
      </c>
      <c r="W32" t="e">
        <f t="shared" si="0"/>
        <v>#DIV/0!</v>
      </c>
      <c r="X32" t="e">
        <f t="shared" si="0"/>
        <v>#DIV/0!</v>
      </c>
      <c r="Y32" t="e">
        <f t="shared" si="0"/>
        <v>#DIV/0!</v>
      </c>
      <c r="Z32">
        <f t="shared" si="0"/>
        <v>0.04</v>
      </c>
      <c r="AA32">
        <v>0</v>
      </c>
      <c r="AB32">
        <f t="shared" ref="AB32:BG32" si="1">AB19</f>
        <v>0.04</v>
      </c>
      <c r="AC32">
        <f t="shared" si="1"/>
        <v>0</v>
      </c>
      <c r="AD32">
        <f t="shared" si="1"/>
        <v>0</v>
      </c>
      <c r="AE32">
        <f t="shared" si="1"/>
        <v>0</v>
      </c>
      <c r="AF32">
        <f t="shared" si="1"/>
        <v>0</v>
      </c>
      <c r="AG32">
        <f t="shared" si="1"/>
        <v>0</v>
      </c>
      <c r="AH32">
        <f t="shared" si="1"/>
        <v>0</v>
      </c>
      <c r="AI32">
        <f t="shared" si="1"/>
        <v>0</v>
      </c>
      <c r="AJ32">
        <f t="shared" si="1"/>
        <v>0</v>
      </c>
      <c r="AK32">
        <f t="shared" si="1"/>
        <v>0</v>
      </c>
      <c r="AL32">
        <f t="shared" si="1"/>
        <v>0</v>
      </c>
      <c r="AM32">
        <f t="shared" si="1"/>
        <v>0.01</v>
      </c>
      <c r="AN32">
        <f t="shared" si="1"/>
        <v>0</v>
      </c>
      <c r="AO32">
        <f t="shared" si="1"/>
        <v>0.04</v>
      </c>
      <c r="AP32">
        <f t="shared" si="1"/>
        <v>0.04</v>
      </c>
      <c r="AQ32">
        <f t="shared" si="1"/>
        <v>0.03</v>
      </c>
      <c r="AR32">
        <f t="shared" si="1"/>
        <v>0.01</v>
      </c>
      <c r="AS32">
        <f t="shared" si="1"/>
        <v>0.01</v>
      </c>
      <c r="AT32">
        <f t="shared" si="1"/>
        <v>0.01</v>
      </c>
      <c r="AU32">
        <f t="shared" si="1"/>
        <v>0.01</v>
      </c>
      <c r="AV32">
        <f t="shared" si="1"/>
        <v>0.01</v>
      </c>
      <c r="AW32">
        <f t="shared" si="1"/>
        <v>0.01</v>
      </c>
      <c r="AX32">
        <f t="shared" si="1"/>
        <v>0.01</v>
      </c>
      <c r="AY32">
        <f t="shared" si="1"/>
        <v>0.01</v>
      </c>
      <c r="AZ32">
        <f t="shared" si="1"/>
        <v>0.01</v>
      </c>
      <c r="BA32">
        <f t="shared" si="1"/>
        <v>0.01</v>
      </c>
      <c r="BB32">
        <f t="shared" si="1"/>
        <v>0.01</v>
      </c>
      <c r="BC32">
        <f t="shared" si="1"/>
        <v>0.01</v>
      </c>
      <c r="BD32">
        <f t="shared" si="1"/>
        <v>0.01</v>
      </c>
      <c r="BE32">
        <f t="shared" si="1"/>
        <v>0.01</v>
      </c>
      <c r="BF32">
        <f t="shared" si="1"/>
        <v>0.01</v>
      </c>
      <c r="BG32">
        <f t="shared" si="1"/>
        <v>0.01</v>
      </c>
      <c r="BH32">
        <f t="shared" ref="BH32:CC32" si="2">BH19</f>
        <v>0.01</v>
      </c>
      <c r="BI32">
        <f t="shared" si="2"/>
        <v>0.01</v>
      </c>
      <c r="BJ32">
        <f t="shared" si="2"/>
        <v>0.01</v>
      </c>
      <c r="BK32">
        <f t="shared" si="2"/>
        <v>0.01</v>
      </c>
      <c r="BL32">
        <f t="shared" si="2"/>
        <v>0.01</v>
      </c>
      <c r="BM32">
        <f t="shared" si="2"/>
        <v>0.01</v>
      </c>
      <c r="BN32">
        <f t="shared" si="2"/>
        <v>0.01</v>
      </c>
      <c r="BO32">
        <f t="shared" si="2"/>
        <v>0.01</v>
      </c>
      <c r="BP32">
        <f t="shared" si="2"/>
        <v>0.01</v>
      </c>
      <c r="BQ32">
        <f t="shared" si="2"/>
        <v>0.01</v>
      </c>
      <c r="BR32">
        <f t="shared" si="2"/>
        <v>0.01</v>
      </c>
      <c r="BS32">
        <f t="shared" si="2"/>
        <v>0.01</v>
      </c>
      <c r="BT32">
        <f t="shared" si="2"/>
        <v>0.01</v>
      </c>
      <c r="BU32">
        <f t="shared" si="2"/>
        <v>0.01</v>
      </c>
      <c r="BV32">
        <f t="shared" si="2"/>
        <v>0.01</v>
      </c>
      <c r="BW32">
        <f t="shared" si="2"/>
        <v>0.01</v>
      </c>
      <c r="BX32">
        <f t="shared" si="2"/>
        <v>0.01</v>
      </c>
      <c r="BY32">
        <f t="shared" si="2"/>
        <v>0.01</v>
      </c>
      <c r="BZ32">
        <f t="shared" si="2"/>
        <v>0.01</v>
      </c>
      <c r="CA32">
        <f t="shared" si="2"/>
        <v>0.01</v>
      </c>
      <c r="CB32">
        <f t="shared" si="2"/>
        <v>0</v>
      </c>
      <c r="CC32">
        <f t="shared" si="2"/>
        <v>0</v>
      </c>
      <c r="CD32">
        <f t="shared" ref="CD32:CI32" si="3">CD19</f>
        <v>0</v>
      </c>
      <c r="CE32">
        <f t="shared" si="3"/>
        <v>1</v>
      </c>
      <c r="CF32">
        <f t="shared" si="3"/>
        <v>0</v>
      </c>
      <c r="CG32">
        <f t="shared" si="3"/>
        <v>0.04</v>
      </c>
      <c r="CH32">
        <f t="shared" si="3"/>
        <v>0.03</v>
      </c>
      <c r="CI32">
        <f t="shared" si="3"/>
        <v>1</v>
      </c>
    </row>
    <row r="33" spans="2:87" x14ac:dyDescent="0.2">
      <c r="B33">
        <f t="shared" ref="B33:B43" si="4">B32 + B20</f>
        <v>0.03</v>
      </c>
      <c r="C33">
        <f t="shared" ref="C33:C43" si="5">C32 + C20</f>
        <v>0.01</v>
      </c>
      <c r="D33">
        <f t="shared" ref="D33:D43" si="6">D32 + D20</f>
        <v>0.01</v>
      </c>
      <c r="E33">
        <f t="shared" ref="E33:E43" si="7">E32 + E20</f>
        <v>0.08</v>
      </c>
      <c r="F33">
        <f t="shared" ref="F33:F43" si="8">F32 + F20</f>
        <v>0.01</v>
      </c>
      <c r="G33">
        <f t="shared" ref="G33:G43" si="9">G32 + G20</f>
        <v>0.05</v>
      </c>
      <c r="H33">
        <f t="shared" ref="H33:H43" si="10">H32 + H20</f>
        <v>0.02</v>
      </c>
      <c r="I33">
        <f t="shared" ref="I33:I43" si="11">I32 + I20</f>
        <v>0.01</v>
      </c>
      <c r="J33">
        <f t="shared" ref="J33:J43" si="12">J32 + J20</f>
        <v>0.03</v>
      </c>
      <c r="K33">
        <f t="shared" ref="K33:K43" si="13">K32 + K20</f>
        <v>7.0000000000000007E-2</v>
      </c>
      <c r="L33">
        <f t="shared" ref="L33:L43" si="14">L32 + L20</f>
        <v>0.02</v>
      </c>
      <c r="M33">
        <f t="shared" ref="M33:M43" si="15">M32 + M20</f>
        <v>0.02</v>
      </c>
      <c r="N33" t="e">
        <f t="shared" ref="N33:N43" si="16">N32 + N20</f>
        <v>#DIV/0!</v>
      </c>
      <c r="O33" t="e">
        <f t="shared" ref="O33:O43" si="17">O32 + O20</f>
        <v>#DIV/0!</v>
      </c>
      <c r="P33" t="e">
        <f t="shared" ref="P33:P43" si="18">P32 + P20</f>
        <v>#DIV/0!</v>
      </c>
      <c r="Q33" t="e">
        <f t="shared" ref="Q33:Q43" si="19">Q32 + Q20</f>
        <v>#DIV/0!</v>
      </c>
      <c r="R33" t="e">
        <f t="shared" ref="R33:R43" si="20">R32 + R20</f>
        <v>#DIV/0!</v>
      </c>
      <c r="S33" t="e">
        <f t="shared" ref="S33:S43" si="21">S32 + S20</f>
        <v>#DIV/0!</v>
      </c>
      <c r="T33" t="e">
        <f t="shared" ref="T33:T43" si="22">T32 + T20</f>
        <v>#DIV/0!</v>
      </c>
      <c r="U33" t="e">
        <f t="shared" ref="U33:U43" si="23">U32 + U20</f>
        <v>#DIV/0!</v>
      </c>
      <c r="V33" t="e">
        <f t="shared" ref="V33:V43" si="24">V32 + V20</f>
        <v>#DIV/0!</v>
      </c>
      <c r="W33" t="e">
        <f t="shared" ref="W33:W43" si="25">W32 + W20</f>
        <v>#DIV/0!</v>
      </c>
      <c r="X33" t="e">
        <f t="shared" ref="X33:X43" si="26">X32 + X20</f>
        <v>#DIV/0!</v>
      </c>
      <c r="Y33" t="e">
        <f t="shared" ref="Y33:Y43" si="27">Y32 + Y20</f>
        <v>#DIV/0!</v>
      </c>
      <c r="Z33">
        <f t="shared" ref="Z33:Z43" si="28">Z32 + Z20</f>
        <v>0.04</v>
      </c>
      <c r="AA33">
        <v>0</v>
      </c>
      <c r="AB33">
        <f t="shared" ref="AB33:AB43" si="29">AB32 + AB20</f>
        <v>0.04</v>
      </c>
      <c r="AC33">
        <f t="shared" ref="AC33:AC43" si="30">AC32 + AC20</f>
        <v>0.03</v>
      </c>
      <c r="AD33">
        <f t="shared" ref="AD33:AD43" si="31">AD32 + AD20</f>
        <v>0.04</v>
      </c>
      <c r="AE33">
        <f t="shared" ref="AE33:AE43" si="32">AE32 + AE20</f>
        <v>0.01</v>
      </c>
      <c r="AF33">
        <f t="shared" ref="AF33:AF43" si="33">AF32 + AF20</f>
        <v>0.01</v>
      </c>
      <c r="AG33">
        <f t="shared" ref="AG33:AG43" si="34">AG32 + AG20</f>
        <v>0.03</v>
      </c>
      <c r="AH33">
        <f t="shared" ref="AH33:AH43" si="35">AH32 + AH20</f>
        <v>0.01</v>
      </c>
      <c r="AI33">
        <f t="shared" ref="AI33:AI43" si="36">AI32 + AI20</f>
        <v>0.02</v>
      </c>
      <c r="AJ33">
        <f t="shared" ref="AJ33:AJ43" si="37">AJ32 + AJ20</f>
        <v>0.02</v>
      </c>
      <c r="AK33">
        <f t="shared" ref="AK33:AK43" si="38">AK32 + AK20</f>
        <v>0.04</v>
      </c>
      <c r="AL33">
        <f t="shared" ref="AL33:AL43" si="39">AL32 + AL20</f>
        <v>0.02</v>
      </c>
      <c r="AM33">
        <f t="shared" ref="AM33:AM43" si="40">AM32 + AM20</f>
        <v>0.03</v>
      </c>
      <c r="AN33">
        <f t="shared" ref="AN33:AN43" si="41">AN32 + AN20</f>
        <v>0.1</v>
      </c>
      <c r="AO33">
        <f t="shared" ref="AO33:AO43" si="42">AO32 + AO20</f>
        <v>0.04</v>
      </c>
      <c r="AP33">
        <f t="shared" ref="AP33:AP43" si="43">AP32 + AP20</f>
        <v>0.04</v>
      </c>
      <c r="AQ33">
        <f t="shared" ref="AQ33:AQ43" si="44">AQ32 + AQ20</f>
        <v>0.03</v>
      </c>
      <c r="AR33">
        <f t="shared" ref="AR33:AR43" si="45">AR32 + AR20</f>
        <v>0.02</v>
      </c>
      <c r="AS33">
        <f t="shared" ref="AS33:AS43" si="46">AS32 + AS20</f>
        <v>0.02</v>
      </c>
      <c r="AT33">
        <f t="shared" ref="AT33:AT43" si="47">AT32 + AT20</f>
        <v>0.01</v>
      </c>
      <c r="AU33">
        <f t="shared" ref="AU33:AU43" si="48">AU32 + AU20</f>
        <v>0.01</v>
      </c>
      <c r="AV33">
        <f t="shared" ref="AV33:AV43" si="49">AV32 + AV20</f>
        <v>0.01</v>
      </c>
      <c r="AW33">
        <f t="shared" ref="AW33:AW43" si="50">AW32 + AW20</f>
        <v>0.02</v>
      </c>
      <c r="AX33">
        <f t="shared" ref="AX33:AX43" si="51">AX32 + AX20</f>
        <v>0.01</v>
      </c>
      <c r="AY33">
        <f t="shared" ref="AY33:AY43" si="52">AY32 + AY20</f>
        <v>0.04</v>
      </c>
      <c r="AZ33">
        <f t="shared" ref="AZ33:AZ43" si="53">AZ32 + AZ20</f>
        <v>0.08</v>
      </c>
      <c r="BA33">
        <f t="shared" ref="BA33:BA43" si="54">BA32 + BA20</f>
        <v>0.02</v>
      </c>
      <c r="BB33">
        <f t="shared" ref="BB33:BB43" si="55">BB32 + BB20</f>
        <v>0.01</v>
      </c>
      <c r="BC33">
        <f t="shared" ref="BC33:BC43" si="56">BC32 + BC20</f>
        <v>0.02</v>
      </c>
      <c r="BD33">
        <f t="shared" ref="BD33:BD43" si="57">BD32 + BD20</f>
        <v>0.02</v>
      </c>
      <c r="BE33">
        <f t="shared" ref="BE33:BE43" si="58">BE32 + BE20</f>
        <v>0.01</v>
      </c>
      <c r="BF33">
        <f t="shared" ref="BF33:BF43" si="59">BF32 + BF20</f>
        <v>0.02</v>
      </c>
      <c r="BG33">
        <f t="shared" ref="BG33:BG43" si="60">BG32 + BG20</f>
        <v>6.9999999999999993E-2</v>
      </c>
      <c r="BH33">
        <f t="shared" ref="BH33:BH43" si="61">BH32 + BH20</f>
        <v>0.03</v>
      </c>
      <c r="BI33">
        <f t="shared" ref="BI33:BI43" si="62">BI32 + BI20</f>
        <v>0.01</v>
      </c>
      <c r="BJ33">
        <f t="shared" ref="BJ33:BJ43" si="63">BJ32 + BJ20</f>
        <v>0.01</v>
      </c>
      <c r="BK33">
        <f t="shared" ref="BK33:BK43" si="64">BK32 + BK20</f>
        <v>6.0000000000000005E-2</v>
      </c>
      <c r="BL33">
        <f t="shared" ref="BL33:BL43" si="65">BL32 + BL20</f>
        <v>0.03</v>
      </c>
      <c r="BM33">
        <f t="shared" ref="BM33:BM43" si="66">BM32 + BM20</f>
        <v>0.05</v>
      </c>
      <c r="BN33">
        <f t="shared" ref="BN33:BN43" si="67">BN32 + BN20</f>
        <v>0.05</v>
      </c>
      <c r="BO33">
        <f t="shared" ref="BO33:BO43" si="68">BO32 + BO20</f>
        <v>0.01</v>
      </c>
      <c r="BP33">
        <f t="shared" ref="BP33:BP43" si="69">BP32 + BP20</f>
        <v>0.02</v>
      </c>
      <c r="BQ33">
        <f t="shared" ref="BQ33:BQ43" si="70">BQ32 + BQ20</f>
        <v>0.01</v>
      </c>
      <c r="BR33">
        <f t="shared" ref="BR33:BR43" si="71">BR32 + BR20</f>
        <v>0.02</v>
      </c>
      <c r="BS33">
        <f t="shared" ref="BS33:BS43" si="72">BS32 + BS20</f>
        <v>0.03</v>
      </c>
      <c r="BT33">
        <f t="shared" ref="BT33:BT43" si="73">BT32 + BT20</f>
        <v>0.01</v>
      </c>
      <c r="BU33">
        <f t="shared" ref="BU33:BU43" si="74">BU32 + BU20</f>
        <v>0.02</v>
      </c>
      <c r="BV33">
        <f t="shared" ref="BV33:BV43" si="75">BV32 + BV20</f>
        <v>0.02</v>
      </c>
      <c r="BW33">
        <f t="shared" ref="BW33:BW43" si="76">BW32 + BW20</f>
        <v>0.03</v>
      </c>
      <c r="BX33">
        <f t="shared" ref="BX33:BX43" si="77">BX32 + BX20</f>
        <v>0.05</v>
      </c>
      <c r="BY33">
        <f t="shared" ref="BY33:BY43" si="78">BY32 + BY20</f>
        <v>6.9999999999999993E-2</v>
      </c>
      <c r="BZ33">
        <f t="shared" ref="BZ33:BZ43" si="79">BZ32 + BZ20</f>
        <v>6.0000000000000005E-2</v>
      </c>
      <c r="CA33">
        <f t="shared" ref="CA33:CA43" si="80">CA32 + CA20</f>
        <v>0.02</v>
      </c>
      <c r="CB33">
        <f t="shared" ref="CB33:CB43" si="81">CB32 + CB20</f>
        <v>0.02</v>
      </c>
      <c r="CC33">
        <f t="shared" ref="CC33:CC43" si="82">CC32 + CC20</f>
        <v>0.02</v>
      </c>
      <c r="CD33">
        <f t="shared" ref="CD33:CD43" si="83">CD32 + CD20</f>
        <v>0.03</v>
      </c>
      <c r="CE33">
        <f t="shared" ref="CE33:CE43" si="84">CE32 + CE20</f>
        <v>1</v>
      </c>
      <c r="CF33">
        <f t="shared" ref="CF33:CF43" si="85">CF32 + CF20</f>
        <v>0.02</v>
      </c>
      <c r="CG33">
        <f t="shared" ref="CG33:CG43" si="86">CG32 + CG20</f>
        <v>0.04</v>
      </c>
      <c r="CH33">
        <f t="shared" ref="CH33:CH43" si="87">CH32 + CH20</f>
        <v>0.03</v>
      </c>
      <c r="CI33">
        <f t="shared" ref="CI33:CI43" si="88">CI32 + CI20</f>
        <v>1</v>
      </c>
    </row>
    <row r="34" spans="2:87" x14ac:dyDescent="0.2">
      <c r="B34">
        <f t="shared" si="4"/>
        <v>0.06</v>
      </c>
      <c r="C34">
        <f t="shared" si="5"/>
        <v>0.02</v>
      </c>
      <c r="D34">
        <f t="shared" si="6"/>
        <v>0.02</v>
      </c>
      <c r="E34">
        <f t="shared" si="7"/>
        <v>0.15000000000000002</v>
      </c>
      <c r="F34">
        <f t="shared" si="8"/>
        <v>0.01</v>
      </c>
      <c r="G34">
        <f t="shared" si="9"/>
        <v>0.12000000000000001</v>
      </c>
      <c r="H34">
        <f t="shared" si="10"/>
        <v>0.04</v>
      </c>
      <c r="I34">
        <f t="shared" si="11"/>
        <v>0.02</v>
      </c>
      <c r="J34">
        <f t="shared" si="12"/>
        <v>0.09</v>
      </c>
      <c r="K34">
        <f t="shared" si="13"/>
        <v>0.16</v>
      </c>
      <c r="L34">
        <f t="shared" si="14"/>
        <v>0.05</v>
      </c>
      <c r="M34">
        <f t="shared" si="15"/>
        <v>0.03</v>
      </c>
      <c r="N34" t="e">
        <f t="shared" si="16"/>
        <v>#DIV/0!</v>
      </c>
      <c r="O34" t="e">
        <f t="shared" si="17"/>
        <v>#DIV/0!</v>
      </c>
      <c r="P34" t="e">
        <f t="shared" si="18"/>
        <v>#DIV/0!</v>
      </c>
      <c r="Q34" t="e">
        <f t="shared" si="19"/>
        <v>#DIV/0!</v>
      </c>
      <c r="R34" t="e">
        <f t="shared" si="20"/>
        <v>#DIV/0!</v>
      </c>
      <c r="S34" t="e">
        <f t="shared" si="21"/>
        <v>#DIV/0!</v>
      </c>
      <c r="T34" t="e">
        <f t="shared" si="22"/>
        <v>#DIV/0!</v>
      </c>
      <c r="U34" t="e">
        <f t="shared" si="23"/>
        <v>#DIV/0!</v>
      </c>
      <c r="V34" t="e">
        <f t="shared" si="24"/>
        <v>#DIV/0!</v>
      </c>
      <c r="W34" t="e">
        <f t="shared" si="25"/>
        <v>#DIV/0!</v>
      </c>
      <c r="X34" t="e">
        <f t="shared" si="26"/>
        <v>#DIV/0!</v>
      </c>
      <c r="Y34" t="e">
        <f t="shared" si="27"/>
        <v>#DIV/0!</v>
      </c>
      <c r="Z34">
        <f t="shared" si="28"/>
        <v>0.04</v>
      </c>
      <c r="AA34">
        <v>0.27</v>
      </c>
      <c r="AB34">
        <f t="shared" si="29"/>
        <v>0.04</v>
      </c>
      <c r="AC34">
        <f t="shared" si="30"/>
        <v>0.06</v>
      </c>
      <c r="AD34">
        <f t="shared" si="31"/>
        <v>0.05</v>
      </c>
      <c r="AE34">
        <f t="shared" si="32"/>
        <v>0.01</v>
      </c>
      <c r="AF34">
        <f t="shared" si="33"/>
        <v>0.05</v>
      </c>
      <c r="AG34">
        <f t="shared" si="34"/>
        <v>0.04</v>
      </c>
      <c r="AH34">
        <f t="shared" si="35"/>
        <v>0.01</v>
      </c>
      <c r="AI34">
        <f t="shared" si="36"/>
        <v>0.04</v>
      </c>
      <c r="AJ34">
        <f t="shared" si="37"/>
        <v>0.03</v>
      </c>
      <c r="AK34">
        <f t="shared" si="38"/>
        <v>0.11000000000000001</v>
      </c>
      <c r="AL34">
        <f t="shared" si="39"/>
        <v>0.04</v>
      </c>
      <c r="AM34">
        <f t="shared" si="40"/>
        <v>0.06</v>
      </c>
      <c r="AN34">
        <f t="shared" si="41"/>
        <v>0.13</v>
      </c>
      <c r="AO34">
        <f t="shared" si="42"/>
        <v>0.04</v>
      </c>
      <c r="AP34">
        <f t="shared" si="43"/>
        <v>0.04</v>
      </c>
      <c r="AQ34">
        <f t="shared" si="44"/>
        <v>0.03</v>
      </c>
      <c r="AR34">
        <f t="shared" si="45"/>
        <v>7.0000000000000007E-2</v>
      </c>
      <c r="AS34">
        <f t="shared" si="46"/>
        <v>0.04</v>
      </c>
      <c r="AT34">
        <f t="shared" si="47"/>
        <v>0.03</v>
      </c>
      <c r="AU34">
        <f t="shared" si="48"/>
        <v>0.03</v>
      </c>
      <c r="AV34">
        <f t="shared" si="49"/>
        <v>0.02</v>
      </c>
      <c r="AW34">
        <f t="shared" si="50"/>
        <v>0.02</v>
      </c>
      <c r="AX34">
        <f t="shared" si="51"/>
        <v>0.01</v>
      </c>
      <c r="AY34">
        <f t="shared" si="52"/>
        <v>7.0000000000000007E-2</v>
      </c>
      <c r="AZ34">
        <f t="shared" si="53"/>
        <v>0.18</v>
      </c>
      <c r="BA34">
        <f t="shared" si="54"/>
        <v>0.05</v>
      </c>
      <c r="BB34">
        <f t="shared" si="55"/>
        <v>0.05</v>
      </c>
      <c r="BC34">
        <f t="shared" si="56"/>
        <v>0.05</v>
      </c>
      <c r="BD34">
        <f t="shared" si="57"/>
        <v>0.06</v>
      </c>
      <c r="BE34">
        <f t="shared" si="58"/>
        <v>6.0000000000000005E-2</v>
      </c>
      <c r="BF34">
        <f t="shared" si="59"/>
        <v>0.03</v>
      </c>
      <c r="BG34">
        <f t="shared" si="60"/>
        <v>0.09</v>
      </c>
      <c r="BH34">
        <f t="shared" si="61"/>
        <v>7.0000000000000007E-2</v>
      </c>
      <c r="BI34">
        <f t="shared" si="62"/>
        <v>6.9999999999999993E-2</v>
      </c>
      <c r="BJ34">
        <f t="shared" si="63"/>
        <v>0.04</v>
      </c>
      <c r="BK34">
        <f t="shared" si="64"/>
        <v>0.08</v>
      </c>
      <c r="BL34">
        <f t="shared" si="65"/>
        <v>0.08</v>
      </c>
      <c r="BM34">
        <f t="shared" si="66"/>
        <v>0.1</v>
      </c>
      <c r="BN34">
        <f t="shared" si="67"/>
        <v>0.11</v>
      </c>
      <c r="BO34">
        <f t="shared" si="68"/>
        <v>0.03</v>
      </c>
      <c r="BP34">
        <f t="shared" si="69"/>
        <v>0.04</v>
      </c>
      <c r="BQ34">
        <f t="shared" si="70"/>
        <v>0.02</v>
      </c>
      <c r="BR34">
        <f t="shared" si="71"/>
        <v>0.03</v>
      </c>
      <c r="BS34">
        <f t="shared" si="72"/>
        <v>0.03</v>
      </c>
      <c r="BT34">
        <f t="shared" si="73"/>
        <v>0.02</v>
      </c>
      <c r="BU34">
        <f t="shared" si="74"/>
        <v>0.04</v>
      </c>
      <c r="BV34">
        <f t="shared" si="75"/>
        <v>0.04</v>
      </c>
      <c r="BW34">
        <f t="shared" si="76"/>
        <v>0.05</v>
      </c>
      <c r="BX34">
        <f t="shared" si="77"/>
        <v>0.15000000000000002</v>
      </c>
      <c r="BY34">
        <f t="shared" si="78"/>
        <v>9.9999999999999992E-2</v>
      </c>
      <c r="BZ34">
        <f t="shared" si="79"/>
        <v>0.12</v>
      </c>
      <c r="CA34">
        <f t="shared" si="80"/>
        <v>0.03</v>
      </c>
      <c r="CB34">
        <f t="shared" si="81"/>
        <v>0.06</v>
      </c>
      <c r="CC34">
        <f t="shared" si="82"/>
        <v>0.06</v>
      </c>
      <c r="CD34">
        <f t="shared" si="83"/>
        <v>0.1</v>
      </c>
      <c r="CE34">
        <f t="shared" si="84"/>
        <v>1</v>
      </c>
      <c r="CF34">
        <f t="shared" si="85"/>
        <v>0.06</v>
      </c>
      <c r="CG34">
        <f t="shared" si="86"/>
        <v>0.04</v>
      </c>
      <c r="CH34">
        <f t="shared" si="87"/>
        <v>0.03</v>
      </c>
      <c r="CI34">
        <f t="shared" si="88"/>
        <v>1</v>
      </c>
    </row>
    <row r="35" spans="2:87" x14ac:dyDescent="0.2">
      <c r="B35">
        <f t="shared" si="4"/>
        <v>0.15</v>
      </c>
      <c r="C35">
        <f t="shared" si="5"/>
        <v>0.16999999999999998</v>
      </c>
      <c r="D35">
        <f t="shared" si="6"/>
        <v>0.05</v>
      </c>
      <c r="E35">
        <f t="shared" si="7"/>
        <v>0.32000000000000006</v>
      </c>
      <c r="F35">
        <f t="shared" si="8"/>
        <v>6.0000000000000005E-2</v>
      </c>
      <c r="G35">
        <f t="shared" si="9"/>
        <v>0.23</v>
      </c>
      <c r="H35">
        <f t="shared" si="10"/>
        <v>7.0000000000000007E-2</v>
      </c>
      <c r="I35">
        <f t="shared" si="11"/>
        <v>0.11</v>
      </c>
      <c r="J35">
        <f t="shared" si="12"/>
        <v>0.2</v>
      </c>
      <c r="K35">
        <f t="shared" si="13"/>
        <v>0.27</v>
      </c>
      <c r="L35">
        <f t="shared" si="14"/>
        <v>0.14000000000000001</v>
      </c>
      <c r="M35">
        <f t="shared" si="15"/>
        <v>0.14000000000000001</v>
      </c>
      <c r="N35" t="e">
        <f t="shared" si="16"/>
        <v>#DIV/0!</v>
      </c>
      <c r="O35" t="e">
        <f t="shared" si="17"/>
        <v>#DIV/0!</v>
      </c>
      <c r="P35" t="e">
        <f t="shared" si="18"/>
        <v>#DIV/0!</v>
      </c>
      <c r="Q35" t="e">
        <f t="shared" si="19"/>
        <v>#DIV/0!</v>
      </c>
      <c r="R35" t="e">
        <f t="shared" si="20"/>
        <v>#DIV/0!</v>
      </c>
      <c r="S35" t="e">
        <f t="shared" si="21"/>
        <v>#DIV/0!</v>
      </c>
      <c r="T35" t="e">
        <f t="shared" si="22"/>
        <v>#DIV/0!</v>
      </c>
      <c r="U35" t="e">
        <f t="shared" si="23"/>
        <v>#DIV/0!</v>
      </c>
      <c r="V35" t="e">
        <f t="shared" si="24"/>
        <v>#DIV/0!</v>
      </c>
      <c r="W35" t="e">
        <f t="shared" si="25"/>
        <v>#DIV/0!</v>
      </c>
      <c r="X35" t="e">
        <f t="shared" si="26"/>
        <v>#DIV/0!</v>
      </c>
      <c r="Y35" t="e">
        <f t="shared" si="27"/>
        <v>#DIV/0!</v>
      </c>
      <c r="Z35">
        <f t="shared" si="28"/>
        <v>0.04</v>
      </c>
      <c r="AA35">
        <v>0</v>
      </c>
      <c r="AB35">
        <f t="shared" si="29"/>
        <v>0.04</v>
      </c>
      <c r="AC35">
        <f t="shared" si="30"/>
        <v>0.15</v>
      </c>
      <c r="AD35">
        <f t="shared" si="31"/>
        <v>0.11</v>
      </c>
      <c r="AE35">
        <f t="shared" si="32"/>
        <v>0.03</v>
      </c>
      <c r="AF35">
        <f t="shared" si="33"/>
        <v>0.12000000000000001</v>
      </c>
      <c r="AG35">
        <f t="shared" si="34"/>
        <v>0.14000000000000001</v>
      </c>
      <c r="AH35">
        <f t="shared" si="35"/>
        <v>0.12</v>
      </c>
      <c r="AI35">
        <f t="shared" si="36"/>
        <v>0.1</v>
      </c>
      <c r="AJ35">
        <f t="shared" si="37"/>
        <v>0.11</v>
      </c>
      <c r="AK35">
        <f t="shared" si="38"/>
        <v>0.22000000000000003</v>
      </c>
      <c r="AL35">
        <f t="shared" si="39"/>
        <v>0.13</v>
      </c>
      <c r="AM35">
        <f t="shared" si="40"/>
        <v>0.13</v>
      </c>
      <c r="AN35">
        <f t="shared" si="41"/>
        <v>0.26</v>
      </c>
      <c r="AO35">
        <f t="shared" si="42"/>
        <v>0.04</v>
      </c>
      <c r="AP35">
        <f t="shared" si="43"/>
        <v>0.04</v>
      </c>
      <c r="AQ35">
        <f t="shared" si="44"/>
        <v>0.03</v>
      </c>
      <c r="AR35">
        <f t="shared" si="45"/>
        <v>0.13</v>
      </c>
      <c r="AS35">
        <f t="shared" si="46"/>
        <v>0.08</v>
      </c>
      <c r="AT35">
        <f t="shared" si="47"/>
        <v>0.05</v>
      </c>
      <c r="AU35">
        <f t="shared" si="48"/>
        <v>0.08</v>
      </c>
      <c r="AV35">
        <f t="shared" si="49"/>
        <v>0.1</v>
      </c>
      <c r="AW35">
        <f t="shared" si="50"/>
        <v>9.0000000000000011E-2</v>
      </c>
      <c r="AX35">
        <f t="shared" si="51"/>
        <v>0.05</v>
      </c>
      <c r="AY35">
        <f t="shared" si="52"/>
        <v>0.18</v>
      </c>
      <c r="AZ35">
        <f t="shared" si="53"/>
        <v>0.25</v>
      </c>
      <c r="BA35">
        <f t="shared" si="54"/>
        <v>0.08</v>
      </c>
      <c r="BB35">
        <f t="shared" si="55"/>
        <v>0.12000000000000001</v>
      </c>
      <c r="BC35">
        <f t="shared" si="56"/>
        <v>0.15000000000000002</v>
      </c>
      <c r="BD35">
        <f t="shared" si="57"/>
        <v>0.1</v>
      </c>
      <c r="BE35">
        <f t="shared" si="58"/>
        <v>0.12</v>
      </c>
      <c r="BF35">
        <f t="shared" si="59"/>
        <v>0.11</v>
      </c>
      <c r="BG35">
        <f t="shared" si="60"/>
        <v>0.21</v>
      </c>
      <c r="BH35">
        <f t="shared" si="61"/>
        <v>0.14000000000000001</v>
      </c>
      <c r="BI35">
        <f t="shared" si="62"/>
        <v>0.15999999999999998</v>
      </c>
      <c r="BJ35">
        <f t="shared" si="63"/>
        <v>0.16</v>
      </c>
      <c r="BK35">
        <f t="shared" si="64"/>
        <v>0.13</v>
      </c>
      <c r="BL35">
        <f t="shared" si="65"/>
        <v>0.12</v>
      </c>
      <c r="BM35">
        <f t="shared" si="66"/>
        <v>0.2</v>
      </c>
      <c r="BN35">
        <f t="shared" si="67"/>
        <v>0.18</v>
      </c>
      <c r="BO35">
        <f t="shared" si="68"/>
        <v>0.09</v>
      </c>
      <c r="BP35">
        <f t="shared" si="69"/>
        <v>0.08</v>
      </c>
      <c r="BQ35">
        <f t="shared" si="70"/>
        <v>0.04</v>
      </c>
      <c r="BR35">
        <f t="shared" si="71"/>
        <v>0.09</v>
      </c>
      <c r="BS35">
        <f t="shared" si="72"/>
        <v>0.08</v>
      </c>
      <c r="BT35">
        <f t="shared" si="73"/>
        <v>0.05</v>
      </c>
      <c r="BU35">
        <f t="shared" si="74"/>
        <v>0.16</v>
      </c>
      <c r="BV35">
        <f t="shared" si="75"/>
        <v>0.06</v>
      </c>
      <c r="BW35">
        <f t="shared" si="76"/>
        <v>0.12000000000000001</v>
      </c>
      <c r="BX35">
        <f t="shared" si="77"/>
        <v>0.23000000000000004</v>
      </c>
      <c r="BY35">
        <f t="shared" si="78"/>
        <v>0.27</v>
      </c>
      <c r="BZ35">
        <f t="shared" si="79"/>
        <v>0.22999999999999998</v>
      </c>
      <c r="CA35">
        <f t="shared" si="80"/>
        <v>0.06</v>
      </c>
      <c r="CB35">
        <f t="shared" si="81"/>
        <v>0.14000000000000001</v>
      </c>
      <c r="CC35">
        <f t="shared" si="82"/>
        <v>0.14000000000000001</v>
      </c>
      <c r="CD35">
        <f t="shared" si="83"/>
        <v>0.17</v>
      </c>
      <c r="CE35">
        <f t="shared" si="84"/>
        <v>1</v>
      </c>
      <c r="CF35">
        <f t="shared" si="85"/>
        <v>0.14000000000000001</v>
      </c>
      <c r="CG35">
        <f t="shared" si="86"/>
        <v>0.04</v>
      </c>
      <c r="CH35">
        <f t="shared" si="87"/>
        <v>0.03</v>
      </c>
      <c r="CI35">
        <f t="shared" si="88"/>
        <v>1</v>
      </c>
    </row>
    <row r="36" spans="2:87" x14ac:dyDescent="0.2">
      <c r="B36">
        <f t="shared" si="4"/>
        <v>0.29000000000000004</v>
      </c>
      <c r="C36">
        <f t="shared" si="5"/>
        <v>0.3</v>
      </c>
      <c r="D36">
        <f t="shared" si="6"/>
        <v>0.12000000000000001</v>
      </c>
      <c r="E36">
        <f t="shared" si="7"/>
        <v>0.41000000000000003</v>
      </c>
      <c r="F36">
        <f t="shared" si="8"/>
        <v>0.18</v>
      </c>
      <c r="G36">
        <f t="shared" si="9"/>
        <v>0.36</v>
      </c>
      <c r="H36">
        <f t="shared" si="10"/>
        <v>0.13</v>
      </c>
      <c r="I36">
        <f t="shared" si="11"/>
        <v>0.26</v>
      </c>
      <c r="J36">
        <f t="shared" si="12"/>
        <v>0.36</v>
      </c>
      <c r="K36">
        <f t="shared" si="13"/>
        <v>0.4</v>
      </c>
      <c r="L36">
        <f t="shared" si="14"/>
        <v>0.23</v>
      </c>
      <c r="M36">
        <f t="shared" si="15"/>
        <v>0.33</v>
      </c>
      <c r="N36" t="e">
        <f t="shared" si="16"/>
        <v>#DIV/0!</v>
      </c>
      <c r="O36" t="e">
        <f t="shared" si="17"/>
        <v>#DIV/0!</v>
      </c>
      <c r="P36" t="e">
        <f t="shared" si="18"/>
        <v>#DIV/0!</v>
      </c>
      <c r="Q36" t="e">
        <f t="shared" si="19"/>
        <v>#DIV/0!</v>
      </c>
      <c r="R36" t="e">
        <f t="shared" si="20"/>
        <v>#DIV/0!</v>
      </c>
      <c r="S36" t="e">
        <f t="shared" si="21"/>
        <v>#DIV/0!</v>
      </c>
      <c r="T36" t="e">
        <f t="shared" si="22"/>
        <v>#DIV/0!</v>
      </c>
      <c r="U36" t="e">
        <f t="shared" si="23"/>
        <v>#DIV/0!</v>
      </c>
      <c r="V36" t="e">
        <f t="shared" si="24"/>
        <v>#DIV/0!</v>
      </c>
      <c r="W36" t="e">
        <f t="shared" si="25"/>
        <v>#DIV/0!</v>
      </c>
      <c r="X36" t="e">
        <f t="shared" si="26"/>
        <v>#DIV/0!</v>
      </c>
      <c r="Y36" t="e">
        <f t="shared" si="27"/>
        <v>#DIV/0!</v>
      </c>
      <c r="Z36">
        <f t="shared" si="28"/>
        <v>0.04</v>
      </c>
      <c r="AA36">
        <v>0</v>
      </c>
      <c r="AB36">
        <f t="shared" si="29"/>
        <v>0.04</v>
      </c>
      <c r="AC36">
        <f t="shared" si="30"/>
        <v>0.29000000000000004</v>
      </c>
      <c r="AD36">
        <f t="shared" si="31"/>
        <v>0.16999999999999998</v>
      </c>
      <c r="AE36">
        <f t="shared" si="32"/>
        <v>7.0000000000000007E-2</v>
      </c>
      <c r="AF36">
        <f t="shared" si="33"/>
        <v>0.22000000000000003</v>
      </c>
      <c r="AG36">
        <f t="shared" si="34"/>
        <v>0.25</v>
      </c>
      <c r="AH36">
        <f t="shared" si="35"/>
        <v>0.31</v>
      </c>
      <c r="AI36">
        <f t="shared" si="36"/>
        <v>0.21000000000000002</v>
      </c>
      <c r="AJ36">
        <f t="shared" si="37"/>
        <v>0.2</v>
      </c>
      <c r="AK36">
        <f t="shared" si="38"/>
        <v>0.38</v>
      </c>
      <c r="AL36">
        <f t="shared" si="39"/>
        <v>0.27</v>
      </c>
      <c r="AM36">
        <f t="shared" si="40"/>
        <v>0.36</v>
      </c>
      <c r="AN36">
        <f t="shared" si="41"/>
        <v>0.39</v>
      </c>
      <c r="AO36">
        <f t="shared" si="42"/>
        <v>0.04</v>
      </c>
      <c r="AP36">
        <f t="shared" si="43"/>
        <v>0.04</v>
      </c>
      <c r="AQ36">
        <f t="shared" si="44"/>
        <v>0.03</v>
      </c>
      <c r="AR36">
        <f t="shared" si="45"/>
        <v>0.26</v>
      </c>
      <c r="AS36">
        <f t="shared" si="46"/>
        <v>0.16999999999999998</v>
      </c>
      <c r="AT36">
        <f t="shared" si="47"/>
        <v>7.0000000000000007E-2</v>
      </c>
      <c r="AU36">
        <f t="shared" si="48"/>
        <v>0.2</v>
      </c>
      <c r="AV36">
        <f t="shared" si="49"/>
        <v>0.23</v>
      </c>
      <c r="AW36">
        <f t="shared" si="50"/>
        <v>0.23000000000000004</v>
      </c>
      <c r="AX36">
        <f t="shared" si="51"/>
        <v>0.08</v>
      </c>
      <c r="AY36">
        <f t="shared" si="52"/>
        <v>0.33999999999999997</v>
      </c>
      <c r="AZ36">
        <f t="shared" si="53"/>
        <v>0.47</v>
      </c>
      <c r="BA36">
        <f t="shared" si="54"/>
        <v>0.21000000000000002</v>
      </c>
      <c r="BB36">
        <f t="shared" si="55"/>
        <v>0.25</v>
      </c>
      <c r="BC36">
        <f t="shared" si="56"/>
        <v>0.24000000000000002</v>
      </c>
      <c r="BD36">
        <f t="shared" si="57"/>
        <v>0.23</v>
      </c>
      <c r="BE36">
        <f t="shared" si="58"/>
        <v>0.21</v>
      </c>
      <c r="BF36">
        <f t="shared" si="59"/>
        <v>0.33</v>
      </c>
      <c r="BG36">
        <f t="shared" si="60"/>
        <v>0.32999999999999996</v>
      </c>
      <c r="BH36">
        <f t="shared" si="61"/>
        <v>0.27</v>
      </c>
      <c r="BI36">
        <f t="shared" si="62"/>
        <v>0.24999999999999997</v>
      </c>
      <c r="BJ36">
        <f t="shared" si="63"/>
        <v>0.35</v>
      </c>
      <c r="BK36">
        <f t="shared" si="64"/>
        <v>0.24</v>
      </c>
      <c r="BL36">
        <f t="shared" si="65"/>
        <v>0.22999999999999998</v>
      </c>
      <c r="BM36">
        <f t="shared" si="66"/>
        <v>0.32</v>
      </c>
      <c r="BN36">
        <f t="shared" si="67"/>
        <v>0.31</v>
      </c>
      <c r="BO36">
        <f t="shared" si="68"/>
        <v>0.25</v>
      </c>
      <c r="BP36">
        <f t="shared" si="69"/>
        <v>0.2</v>
      </c>
      <c r="BQ36">
        <f t="shared" si="70"/>
        <v>0.13</v>
      </c>
      <c r="BR36">
        <f t="shared" si="71"/>
        <v>0.2</v>
      </c>
      <c r="BS36">
        <f t="shared" si="72"/>
        <v>0.24</v>
      </c>
      <c r="BT36">
        <f t="shared" si="73"/>
        <v>0.19</v>
      </c>
      <c r="BU36">
        <f t="shared" si="74"/>
        <v>0.26</v>
      </c>
      <c r="BV36">
        <f t="shared" si="75"/>
        <v>0.13</v>
      </c>
      <c r="BW36">
        <f t="shared" si="76"/>
        <v>0.2</v>
      </c>
      <c r="BX36">
        <f t="shared" si="77"/>
        <v>0.42000000000000004</v>
      </c>
      <c r="BY36">
        <f t="shared" si="78"/>
        <v>0.51</v>
      </c>
      <c r="BZ36">
        <f t="shared" si="79"/>
        <v>0.4</v>
      </c>
      <c r="CA36">
        <f t="shared" si="80"/>
        <v>0.14000000000000001</v>
      </c>
      <c r="CB36">
        <f t="shared" si="81"/>
        <v>0.31000000000000005</v>
      </c>
      <c r="CC36">
        <f t="shared" si="82"/>
        <v>0.31000000000000005</v>
      </c>
      <c r="CD36">
        <f t="shared" si="83"/>
        <v>0.32</v>
      </c>
      <c r="CE36">
        <f t="shared" si="84"/>
        <v>1</v>
      </c>
      <c r="CF36">
        <f t="shared" si="85"/>
        <v>0.31000000000000005</v>
      </c>
      <c r="CG36">
        <f t="shared" si="86"/>
        <v>0.04</v>
      </c>
      <c r="CH36">
        <f t="shared" si="87"/>
        <v>0.03</v>
      </c>
      <c r="CI36">
        <f t="shared" si="88"/>
        <v>1</v>
      </c>
    </row>
    <row r="37" spans="2:87" x14ac:dyDescent="0.2">
      <c r="B37">
        <f t="shared" si="4"/>
        <v>0.52</v>
      </c>
      <c r="C37">
        <f t="shared" si="5"/>
        <v>0.44</v>
      </c>
      <c r="D37">
        <f t="shared" si="6"/>
        <v>0.22000000000000003</v>
      </c>
      <c r="E37">
        <f t="shared" si="7"/>
        <v>0.57000000000000006</v>
      </c>
      <c r="F37">
        <f t="shared" si="8"/>
        <v>0.32999999999999996</v>
      </c>
      <c r="G37">
        <f t="shared" si="9"/>
        <v>0.51</v>
      </c>
      <c r="H37">
        <f t="shared" si="10"/>
        <v>0.31</v>
      </c>
      <c r="I37">
        <f t="shared" si="11"/>
        <v>0.48</v>
      </c>
      <c r="J37">
        <f t="shared" si="12"/>
        <v>0.48</v>
      </c>
      <c r="K37">
        <f t="shared" si="13"/>
        <v>0.59000000000000008</v>
      </c>
      <c r="L37">
        <f t="shared" si="14"/>
        <v>0.42000000000000004</v>
      </c>
      <c r="M37">
        <f t="shared" si="15"/>
        <v>0.53</v>
      </c>
      <c r="N37" t="e">
        <f t="shared" si="16"/>
        <v>#DIV/0!</v>
      </c>
      <c r="O37" t="e">
        <f t="shared" si="17"/>
        <v>#DIV/0!</v>
      </c>
      <c r="P37" t="e">
        <f t="shared" si="18"/>
        <v>#DIV/0!</v>
      </c>
      <c r="Q37" t="e">
        <f t="shared" si="19"/>
        <v>#DIV/0!</v>
      </c>
      <c r="R37" t="e">
        <f t="shared" si="20"/>
        <v>#DIV/0!</v>
      </c>
      <c r="S37" t="e">
        <f t="shared" si="21"/>
        <v>#DIV/0!</v>
      </c>
      <c r="T37" t="e">
        <f t="shared" si="22"/>
        <v>#DIV/0!</v>
      </c>
      <c r="U37" t="e">
        <f t="shared" si="23"/>
        <v>#DIV/0!</v>
      </c>
      <c r="V37" t="e">
        <f t="shared" si="24"/>
        <v>#DIV/0!</v>
      </c>
      <c r="W37" t="e">
        <f t="shared" si="25"/>
        <v>#DIV/0!</v>
      </c>
      <c r="X37" t="e">
        <f t="shared" si="26"/>
        <v>#DIV/0!</v>
      </c>
      <c r="Y37" t="e">
        <f t="shared" si="27"/>
        <v>#DIV/0!</v>
      </c>
      <c r="Z37">
        <f t="shared" si="28"/>
        <v>0.31</v>
      </c>
      <c r="AA37">
        <v>0</v>
      </c>
      <c r="AB37">
        <f t="shared" si="29"/>
        <v>0.31</v>
      </c>
      <c r="AC37">
        <f t="shared" si="30"/>
        <v>0.52</v>
      </c>
      <c r="AD37">
        <f t="shared" si="31"/>
        <v>0.3</v>
      </c>
      <c r="AE37">
        <f t="shared" si="32"/>
        <v>0.23</v>
      </c>
      <c r="AF37">
        <f t="shared" si="33"/>
        <v>0.41000000000000003</v>
      </c>
      <c r="AG37">
        <f t="shared" si="34"/>
        <v>0.5</v>
      </c>
      <c r="AH37">
        <f t="shared" si="35"/>
        <v>0.52</v>
      </c>
      <c r="AI37">
        <f t="shared" si="36"/>
        <v>0.38</v>
      </c>
      <c r="AJ37">
        <f t="shared" si="37"/>
        <v>0.4</v>
      </c>
      <c r="AK37">
        <f t="shared" si="38"/>
        <v>0.56000000000000005</v>
      </c>
      <c r="AL37">
        <f t="shared" si="39"/>
        <v>0.45</v>
      </c>
      <c r="AM37">
        <f t="shared" si="40"/>
        <v>0.51</v>
      </c>
      <c r="AN37">
        <f t="shared" si="41"/>
        <v>0.54</v>
      </c>
      <c r="AO37">
        <f t="shared" si="42"/>
        <v>0.31</v>
      </c>
      <c r="AP37">
        <f t="shared" si="43"/>
        <v>0.31</v>
      </c>
      <c r="AQ37">
        <f t="shared" si="44"/>
        <v>0.11</v>
      </c>
      <c r="AR37">
        <f t="shared" si="45"/>
        <v>0.39</v>
      </c>
      <c r="AS37">
        <f t="shared" si="46"/>
        <v>0.28999999999999998</v>
      </c>
      <c r="AT37">
        <f t="shared" si="47"/>
        <v>0.21000000000000002</v>
      </c>
      <c r="AU37">
        <f t="shared" si="48"/>
        <v>0.38</v>
      </c>
      <c r="AV37">
        <f t="shared" si="49"/>
        <v>0.38</v>
      </c>
      <c r="AW37">
        <f t="shared" si="50"/>
        <v>0.43000000000000005</v>
      </c>
      <c r="AX37">
        <f t="shared" si="51"/>
        <v>0.22000000000000003</v>
      </c>
      <c r="AY37">
        <f t="shared" si="52"/>
        <v>0.49</v>
      </c>
      <c r="AZ37">
        <f t="shared" si="53"/>
        <v>0.57999999999999996</v>
      </c>
      <c r="BA37">
        <f t="shared" si="54"/>
        <v>0.37</v>
      </c>
      <c r="BB37">
        <f t="shared" si="55"/>
        <v>0.51</v>
      </c>
      <c r="BC37">
        <f t="shared" si="56"/>
        <v>0.39</v>
      </c>
      <c r="BD37">
        <f t="shared" si="57"/>
        <v>0.34</v>
      </c>
      <c r="BE37">
        <f t="shared" si="58"/>
        <v>0.44</v>
      </c>
      <c r="BF37">
        <f t="shared" si="59"/>
        <v>0.56000000000000005</v>
      </c>
      <c r="BG37">
        <f t="shared" si="60"/>
        <v>0.62999999999999989</v>
      </c>
      <c r="BH37">
        <f t="shared" si="61"/>
        <v>0.46</v>
      </c>
      <c r="BI37">
        <f t="shared" si="62"/>
        <v>0.44999999999999996</v>
      </c>
      <c r="BJ37">
        <f t="shared" si="63"/>
        <v>0.55999999999999994</v>
      </c>
      <c r="BK37">
        <f t="shared" si="64"/>
        <v>0.35</v>
      </c>
      <c r="BL37">
        <f t="shared" si="65"/>
        <v>0.39</v>
      </c>
      <c r="BM37">
        <f t="shared" si="66"/>
        <v>0.41000000000000003</v>
      </c>
      <c r="BN37">
        <f t="shared" si="67"/>
        <v>0.53</v>
      </c>
      <c r="BO37">
        <f t="shared" si="68"/>
        <v>0.49</v>
      </c>
      <c r="BP37">
        <f t="shared" si="69"/>
        <v>0.35</v>
      </c>
      <c r="BQ37">
        <f t="shared" si="70"/>
        <v>0.33</v>
      </c>
      <c r="BR37">
        <f t="shared" si="71"/>
        <v>0.31</v>
      </c>
      <c r="BS37">
        <f t="shared" si="72"/>
        <v>0.37</v>
      </c>
      <c r="BT37">
        <f t="shared" si="73"/>
        <v>0.35</v>
      </c>
      <c r="BU37">
        <f t="shared" si="74"/>
        <v>0.38</v>
      </c>
      <c r="BV37">
        <f t="shared" si="75"/>
        <v>0.27</v>
      </c>
      <c r="BW37">
        <f t="shared" si="76"/>
        <v>0.4</v>
      </c>
      <c r="BX37">
        <f t="shared" si="77"/>
        <v>0.56000000000000005</v>
      </c>
      <c r="BY37">
        <f t="shared" si="78"/>
        <v>0.66</v>
      </c>
      <c r="BZ37">
        <f t="shared" si="79"/>
        <v>0.53</v>
      </c>
      <c r="CA37">
        <f t="shared" si="80"/>
        <v>0.32</v>
      </c>
      <c r="CB37">
        <f t="shared" si="81"/>
        <v>0.58000000000000007</v>
      </c>
      <c r="CC37">
        <f t="shared" si="82"/>
        <v>0.58000000000000007</v>
      </c>
      <c r="CD37">
        <f t="shared" si="83"/>
        <v>0.48</v>
      </c>
      <c r="CE37">
        <f t="shared" si="84"/>
        <v>1</v>
      </c>
      <c r="CF37">
        <f t="shared" si="85"/>
        <v>0.58000000000000007</v>
      </c>
      <c r="CG37">
        <f t="shared" si="86"/>
        <v>0.31</v>
      </c>
      <c r="CH37">
        <f t="shared" si="87"/>
        <v>0.11</v>
      </c>
      <c r="CI37">
        <f t="shared" si="88"/>
        <v>1</v>
      </c>
    </row>
    <row r="38" spans="2:87" x14ac:dyDescent="0.2">
      <c r="B38">
        <f t="shared" si="4"/>
        <v>0.65</v>
      </c>
      <c r="C38">
        <f t="shared" si="5"/>
        <v>0.63</v>
      </c>
      <c r="D38">
        <f t="shared" si="6"/>
        <v>0.4</v>
      </c>
      <c r="E38">
        <f t="shared" si="7"/>
        <v>0.70000000000000007</v>
      </c>
      <c r="F38">
        <f t="shared" si="8"/>
        <v>0.54999999999999993</v>
      </c>
      <c r="G38">
        <f t="shared" si="9"/>
        <v>0.65</v>
      </c>
      <c r="H38">
        <f t="shared" si="10"/>
        <v>0.47</v>
      </c>
      <c r="I38">
        <f t="shared" si="11"/>
        <v>0.7</v>
      </c>
      <c r="J38">
        <f t="shared" si="12"/>
        <v>0.63</v>
      </c>
      <c r="K38">
        <f t="shared" si="13"/>
        <v>0.76000000000000012</v>
      </c>
      <c r="L38">
        <f t="shared" si="14"/>
        <v>0.64</v>
      </c>
      <c r="M38">
        <f t="shared" si="15"/>
        <v>0.76</v>
      </c>
      <c r="N38" t="e">
        <f t="shared" si="16"/>
        <v>#DIV/0!</v>
      </c>
      <c r="O38" t="e">
        <f t="shared" si="17"/>
        <v>#DIV/0!</v>
      </c>
      <c r="P38" t="e">
        <f t="shared" si="18"/>
        <v>#DIV/0!</v>
      </c>
      <c r="Q38" t="e">
        <f t="shared" si="19"/>
        <v>#DIV/0!</v>
      </c>
      <c r="R38" t="e">
        <f t="shared" si="20"/>
        <v>#DIV/0!</v>
      </c>
      <c r="S38" t="e">
        <f t="shared" si="21"/>
        <v>#DIV/0!</v>
      </c>
      <c r="T38" t="e">
        <f t="shared" si="22"/>
        <v>#DIV/0!</v>
      </c>
      <c r="U38" t="e">
        <f t="shared" si="23"/>
        <v>#DIV/0!</v>
      </c>
      <c r="V38" t="e">
        <f t="shared" si="24"/>
        <v>#DIV/0!</v>
      </c>
      <c r="W38" t="e">
        <f t="shared" si="25"/>
        <v>#DIV/0!</v>
      </c>
      <c r="X38" t="e">
        <f t="shared" si="26"/>
        <v>#DIV/0!</v>
      </c>
      <c r="Y38" t="e">
        <f t="shared" si="27"/>
        <v>#DIV/0!</v>
      </c>
      <c r="Z38">
        <f t="shared" si="28"/>
        <v>0.31</v>
      </c>
      <c r="AA38">
        <v>0</v>
      </c>
      <c r="AB38">
        <f t="shared" si="29"/>
        <v>0.31</v>
      </c>
      <c r="AC38">
        <f t="shared" si="30"/>
        <v>0.65</v>
      </c>
      <c r="AD38">
        <f t="shared" si="31"/>
        <v>0.47</v>
      </c>
      <c r="AE38">
        <f t="shared" si="32"/>
        <v>0.38</v>
      </c>
      <c r="AF38">
        <f t="shared" si="33"/>
        <v>0.62</v>
      </c>
      <c r="AG38">
        <f t="shared" si="34"/>
        <v>0.67999999999999994</v>
      </c>
      <c r="AH38">
        <f t="shared" si="35"/>
        <v>0.66</v>
      </c>
      <c r="AI38">
        <f t="shared" si="36"/>
        <v>0.56000000000000005</v>
      </c>
      <c r="AJ38">
        <f t="shared" si="37"/>
        <v>0.57000000000000006</v>
      </c>
      <c r="AK38">
        <f t="shared" si="38"/>
        <v>0.67</v>
      </c>
      <c r="AL38">
        <f t="shared" si="39"/>
        <v>0.6</v>
      </c>
      <c r="AM38">
        <f t="shared" si="40"/>
        <v>0.7</v>
      </c>
      <c r="AN38">
        <f t="shared" si="41"/>
        <v>0.68</v>
      </c>
      <c r="AO38">
        <f t="shared" si="42"/>
        <v>0.31</v>
      </c>
      <c r="AP38">
        <f t="shared" si="43"/>
        <v>0.31</v>
      </c>
      <c r="AQ38">
        <f t="shared" si="44"/>
        <v>0.11</v>
      </c>
      <c r="AR38">
        <f t="shared" si="45"/>
        <v>0.58000000000000007</v>
      </c>
      <c r="AS38">
        <f t="shared" si="46"/>
        <v>0.43999999999999995</v>
      </c>
      <c r="AT38">
        <f t="shared" si="47"/>
        <v>0.41000000000000003</v>
      </c>
      <c r="AU38">
        <f t="shared" si="48"/>
        <v>0.57000000000000006</v>
      </c>
      <c r="AV38">
        <f t="shared" si="49"/>
        <v>0.56000000000000005</v>
      </c>
      <c r="AW38">
        <f t="shared" si="50"/>
        <v>0.67</v>
      </c>
      <c r="AX38">
        <f t="shared" si="51"/>
        <v>0.5</v>
      </c>
      <c r="AY38">
        <f t="shared" si="52"/>
        <v>0.69</v>
      </c>
      <c r="AZ38">
        <f t="shared" si="53"/>
        <v>0.72</v>
      </c>
      <c r="BA38">
        <f t="shared" si="54"/>
        <v>0.66999999999999993</v>
      </c>
      <c r="BB38">
        <f t="shared" si="55"/>
        <v>0.75</v>
      </c>
      <c r="BC38">
        <f t="shared" si="56"/>
        <v>0.63</v>
      </c>
      <c r="BD38">
        <f t="shared" si="57"/>
        <v>0.51</v>
      </c>
      <c r="BE38">
        <f t="shared" si="58"/>
        <v>0.62</v>
      </c>
      <c r="BF38">
        <f t="shared" si="59"/>
        <v>0.77</v>
      </c>
      <c r="BG38">
        <f t="shared" si="60"/>
        <v>0.71999999999999986</v>
      </c>
      <c r="BH38">
        <f t="shared" si="61"/>
        <v>0.69000000000000006</v>
      </c>
      <c r="BI38">
        <f t="shared" si="62"/>
        <v>0.6</v>
      </c>
      <c r="BJ38">
        <f t="shared" si="63"/>
        <v>0.76</v>
      </c>
      <c r="BK38">
        <f t="shared" si="64"/>
        <v>0.6</v>
      </c>
      <c r="BL38">
        <f t="shared" si="65"/>
        <v>0.56000000000000005</v>
      </c>
      <c r="BM38">
        <f t="shared" si="66"/>
        <v>0.60000000000000009</v>
      </c>
      <c r="BN38">
        <f t="shared" si="67"/>
        <v>0.74</v>
      </c>
      <c r="BO38">
        <f t="shared" si="68"/>
        <v>0.66999999999999993</v>
      </c>
      <c r="BP38">
        <f t="shared" si="69"/>
        <v>0.53</v>
      </c>
      <c r="BQ38">
        <f t="shared" si="70"/>
        <v>0.57000000000000006</v>
      </c>
      <c r="BR38">
        <f t="shared" si="71"/>
        <v>0.44</v>
      </c>
      <c r="BS38">
        <f t="shared" si="72"/>
        <v>0.55000000000000004</v>
      </c>
      <c r="BT38">
        <f t="shared" si="73"/>
        <v>0.53</v>
      </c>
      <c r="BU38">
        <f t="shared" si="74"/>
        <v>0.56000000000000005</v>
      </c>
      <c r="BV38">
        <f t="shared" si="75"/>
        <v>0.53</v>
      </c>
      <c r="BW38">
        <f t="shared" si="76"/>
        <v>0.57000000000000006</v>
      </c>
      <c r="BX38">
        <f t="shared" si="77"/>
        <v>0.67</v>
      </c>
      <c r="BY38">
        <f t="shared" si="78"/>
        <v>0.8</v>
      </c>
      <c r="BZ38">
        <f t="shared" si="79"/>
        <v>0.63</v>
      </c>
      <c r="CA38">
        <f t="shared" si="80"/>
        <v>0.52</v>
      </c>
      <c r="CB38">
        <f t="shared" si="81"/>
        <v>0.75000000000000011</v>
      </c>
      <c r="CC38">
        <f t="shared" si="82"/>
        <v>0.75000000000000011</v>
      </c>
      <c r="CD38">
        <f t="shared" si="83"/>
        <v>0.65999999999999992</v>
      </c>
      <c r="CE38">
        <f t="shared" si="84"/>
        <v>1</v>
      </c>
      <c r="CF38">
        <f t="shared" si="85"/>
        <v>0.75000000000000011</v>
      </c>
      <c r="CG38">
        <f t="shared" si="86"/>
        <v>0.31</v>
      </c>
      <c r="CH38">
        <f t="shared" si="87"/>
        <v>0.11</v>
      </c>
      <c r="CI38">
        <f t="shared" si="88"/>
        <v>1</v>
      </c>
    </row>
    <row r="39" spans="2:87" x14ac:dyDescent="0.2">
      <c r="B39">
        <f t="shared" si="4"/>
        <v>0.8</v>
      </c>
      <c r="C39">
        <f t="shared" si="5"/>
        <v>0.83000000000000007</v>
      </c>
      <c r="D39">
        <f t="shared" si="6"/>
        <v>0.66</v>
      </c>
      <c r="E39">
        <f t="shared" si="7"/>
        <v>0.8</v>
      </c>
      <c r="F39">
        <f t="shared" si="8"/>
        <v>0.72</v>
      </c>
      <c r="G39">
        <f t="shared" si="9"/>
        <v>0.78</v>
      </c>
      <c r="H39">
        <f t="shared" si="10"/>
        <v>0.71</v>
      </c>
      <c r="I39">
        <f t="shared" si="11"/>
        <v>0.77999999999999992</v>
      </c>
      <c r="J39">
        <f t="shared" si="12"/>
        <v>0.81</v>
      </c>
      <c r="K39">
        <f t="shared" si="13"/>
        <v>0.8600000000000001</v>
      </c>
      <c r="L39">
        <f t="shared" si="14"/>
        <v>0.8</v>
      </c>
      <c r="M39">
        <f t="shared" si="15"/>
        <v>0.89</v>
      </c>
      <c r="N39" t="e">
        <f t="shared" si="16"/>
        <v>#DIV/0!</v>
      </c>
      <c r="O39" t="e">
        <f t="shared" si="17"/>
        <v>#DIV/0!</v>
      </c>
      <c r="P39" t="e">
        <f t="shared" si="18"/>
        <v>#DIV/0!</v>
      </c>
      <c r="Q39" t="e">
        <f t="shared" si="19"/>
        <v>#DIV/0!</v>
      </c>
      <c r="R39" t="e">
        <f t="shared" si="20"/>
        <v>#DIV/0!</v>
      </c>
      <c r="S39" t="e">
        <f t="shared" si="21"/>
        <v>#DIV/0!</v>
      </c>
      <c r="T39" t="e">
        <f t="shared" si="22"/>
        <v>#DIV/0!</v>
      </c>
      <c r="U39" t="e">
        <f t="shared" si="23"/>
        <v>#DIV/0!</v>
      </c>
      <c r="V39" t="e">
        <f t="shared" si="24"/>
        <v>#DIV/0!</v>
      </c>
      <c r="W39" t="e">
        <f t="shared" si="25"/>
        <v>#DIV/0!</v>
      </c>
      <c r="X39" t="e">
        <f t="shared" si="26"/>
        <v>#DIV/0!</v>
      </c>
      <c r="Y39" t="e">
        <f t="shared" si="27"/>
        <v>#DIV/0!</v>
      </c>
      <c r="Z39">
        <f t="shared" si="28"/>
        <v>0.31</v>
      </c>
      <c r="AA39">
        <v>0.69</v>
      </c>
      <c r="AB39">
        <f t="shared" si="29"/>
        <v>0.31</v>
      </c>
      <c r="AC39">
        <f t="shared" si="30"/>
        <v>0.8</v>
      </c>
      <c r="AD39">
        <f t="shared" si="31"/>
        <v>0.57999999999999996</v>
      </c>
      <c r="AE39">
        <f t="shared" si="32"/>
        <v>0.57000000000000006</v>
      </c>
      <c r="AF39">
        <f t="shared" si="33"/>
        <v>0.79</v>
      </c>
      <c r="AG39">
        <f t="shared" si="34"/>
        <v>0.80999999999999994</v>
      </c>
      <c r="AH39">
        <f t="shared" si="35"/>
        <v>0.78</v>
      </c>
      <c r="AI39">
        <f t="shared" si="36"/>
        <v>0.74</v>
      </c>
      <c r="AJ39">
        <f t="shared" si="37"/>
        <v>0.8</v>
      </c>
      <c r="AK39">
        <f t="shared" si="38"/>
        <v>0.75</v>
      </c>
      <c r="AL39">
        <f t="shared" si="39"/>
        <v>0.83</v>
      </c>
      <c r="AM39">
        <f t="shared" si="40"/>
        <v>0.83</v>
      </c>
      <c r="AN39">
        <f t="shared" si="41"/>
        <v>0.76</v>
      </c>
      <c r="AO39">
        <f t="shared" si="42"/>
        <v>0.31</v>
      </c>
      <c r="AP39">
        <f t="shared" si="43"/>
        <v>0.31</v>
      </c>
      <c r="AQ39">
        <f t="shared" si="44"/>
        <v>0.11</v>
      </c>
      <c r="AR39">
        <f t="shared" si="45"/>
        <v>0.72000000000000008</v>
      </c>
      <c r="AS39">
        <f t="shared" si="46"/>
        <v>0.57999999999999996</v>
      </c>
      <c r="AT39">
        <f t="shared" si="47"/>
        <v>0.62</v>
      </c>
      <c r="AU39">
        <f t="shared" si="48"/>
        <v>0.71000000000000008</v>
      </c>
      <c r="AV39">
        <f t="shared" si="49"/>
        <v>0.78</v>
      </c>
      <c r="AW39">
        <f t="shared" si="50"/>
        <v>0.8</v>
      </c>
      <c r="AX39">
        <f t="shared" si="51"/>
        <v>0.74</v>
      </c>
      <c r="AY39">
        <f t="shared" si="52"/>
        <v>0.80999999999999994</v>
      </c>
      <c r="AZ39">
        <f t="shared" si="53"/>
        <v>0.85</v>
      </c>
      <c r="BA39">
        <f t="shared" si="54"/>
        <v>0.84999999999999987</v>
      </c>
      <c r="BB39">
        <f t="shared" si="55"/>
        <v>0.85</v>
      </c>
      <c r="BC39">
        <f t="shared" si="56"/>
        <v>0.76</v>
      </c>
      <c r="BD39">
        <f t="shared" si="57"/>
        <v>0.74</v>
      </c>
      <c r="BE39">
        <f t="shared" si="58"/>
        <v>0.8</v>
      </c>
      <c r="BF39">
        <f t="shared" si="59"/>
        <v>0.93</v>
      </c>
      <c r="BG39">
        <f t="shared" si="60"/>
        <v>0.79999999999999982</v>
      </c>
      <c r="BH39">
        <f t="shared" si="61"/>
        <v>0.84000000000000008</v>
      </c>
      <c r="BI39">
        <f t="shared" si="62"/>
        <v>0.86</v>
      </c>
      <c r="BJ39">
        <f t="shared" si="63"/>
        <v>0.9</v>
      </c>
      <c r="BK39">
        <f t="shared" si="64"/>
        <v>0.72</v>
      </c>
      <c r="BL39">
        <f t="shared" si="65"/>
        <v>0.71000000000000008</v>
      </c>
      <c r="BM39">
        <f t="shared" si="66"/>
        <v>0.82000000000000006</v>
      </c>
      <c r="BN39">
        <f t="shared" si="67"/>
        <v>0.88</v>
      </c>
      <c r="BO39">
        <f t="shared" si="68"/>
        <v>0.87999999999999989</v>
      </c>
      <c r="BP39">
        <f t="shared" si="69"/>
        <v>0.75</v>
      </c>
      <c r="BQ39">
        <f t="shared" si="70"/>
        <v>0.8</v>
      </c>
      <c r="BR39">
        <f t="shared" si="71"/>
        <v>0.62</v>
      </c>
      <c r="BS39">
        <f t="shared" si="72"/>
        <v>0.77</v>
      </c>
      <c r="BT39">
        <f t="shared" si="73"/>
        <v>0.68</v>
      </c>
      <c r="BU39">
        <f t="shared" si="74"/>
        <v>0.71000000000000008</v>
      </c>
      <c r="BV39">
        <f t="shared" si="75"/>
        <v>0.71</v>
      </c>
      <c r="BW39">
        <f t="shared" si="76"/>
        <v>0.72000000000000008</v>
      </c>
      <c r="BX39">
        <f t="shared" si="77"/>
        <v>0.81</v>
      </c>
      <c r="BY39">
        <f t="shared" si="78"/>
        <v>0.91</v>
      </c>
      <c r="BZ39">
        <f t="shared" si="79"/>
        <v>0.81</v>
      </c>
      <c r="CA39">
        <f t="shared" si="80"/>
        <v>0.68</v>
      </c>
      <c r="CB39">
        <f t="shared" si="81"/>
        <v>1</v>
      </c>
      <c r="CC39">
        <f t="shared" si="82"/>
        <v>1</v>
      </c>
      <c r="CD39">
        <f t="shared" si="83"/>
        <v>0.79999999999999993</v>
      </c>
      <c r="CE39">
        <f t="shared" si="84"/>
        <v>1</v>
      </c>
      <c r="CF39">
        <f t="shared" si="85"/>
        <v>1</v>
      </c>
      <c r="CG39">
        <f t="shared" si="86"/>
        <v>0.31</v>
      </c>
      <c r="CH39">
        <f t="shared" si="87"/>
        <v>0.11</v>
      </c>
      <c r="CI39">
        <f t="shared" si="88"/>
        <v>1</v>
      </c>
    </row>
    <row r="40" spans="2:87" x14ac:dyDescent="0.2">
      <c r="B40">
        <f t="shared" si="4"/>
        <v>0.9</v>
      </c>
      <c r="C40">
        <f t="shared" si="5"/>
        <v>0.90000000000000013</v>
      </c>
      <c r="D40">
        <f t="shared" si="6"/>
        <v>0.87</v>
      </c>
      <c r="E40">
        <f t="shared" si="7"/>
        <v>0.91</v>
      </c>
      <c r="F40">
        <f t="shared" si="8"/>
        <v>0.89</v>
      </c>
      <c r="G40">
        <f t="shared" si="9"/>
        <v>0.84000000000000008</v>
      </c>
      <c r="H40">
        <f t="shared" si="10"/>
        <v>0.8899999999999999</v>
      </c>
      <c r="I40">
        <f t="shared" si="11"/>
        <v>0.94</v>
      </c>
      <c r="J40">
        <f t="shared" si="12"/>
        <v>0.9</v>
      </c>
      <c r="K40">
        <f t="shared" si="13"/>
        <v>0.93000000000000016</v>
      </c>
      <c r="L40">
        <f t="shared" si="14"/>
        <v>0.91</v>
      </c>
      <c r="M40">
        <f t="shared" si="15"/>
        <v>0.98</v>
      </c>
      <c r="N40" t="e">
        <f t="shared" si="16"/>
        <v>#DIV/0!</v>
      </c>
      <c r="O40" t="e">
        <f t="shared" si="17"/>
        <v>#DIV/0!</v>
      </c>
      <c r="P40" t="e">
        <f t="shared" si="18"/>
        <v>#DIV/0!</v>
      </c>
      <c r="Q40" t="e">
        <f t="shared" si="19"/>
        <v>#DIV/0!</v>
      </c>
      <c r="R40" t="e">
        <f t="shared" si="20"/>
        <v>#DIV/0!</v>
      </c>
      <c r="S40" t="e">
        <f t="shared" si="21"/>
        <v>#DIV/0!</v>
      </c>
      <c r="T40" t="e">
        <f t="shared" si="22"/>
        <v>#DIV/0!</v>
      </c>
      <c r="U40" t="e">
        <f t="shared" si="23"/>
        <v>#DIV/0!</v>
      </c>
      <c r="V40" t="e">
        <f t="shared" si="24"/>
        <v>#DIV/0!</v>
      </c>
      <c r="W40" t="e">
        <f t="shared" si="25"/>
        <v>#DIV/0!</v>
      </c>
      <c r="X40" t="e">
        <f t="shared" si="26"/>
        <v>#DIV/0!</v>
      </c>
      <c r="Y40" t="e">
        <f t="shared" si="27"/>
        <v>#DIV/0!</v>
      </c>
      <c r="Z40">
        <f t="shared" si="28"/>
        <v>0.31</v>
      </c>
      <c r="AA40">
        <v>0</v>
      </c>
      <c r="AB40">
        <f t="shared" si="29"/>
        <v>0.31</v>
      </c>
      <c r="AC40">
        <f t="shared" si="30"/>
        <v>0.9</v>
      </c>
      <c r="AD40">
        <f t="shared" si="31"/>
        <v>0.75</v>
      </c>
      <c r="AE40">
        <f t="shared" si="32"/>
        <v>0.7400000000000001</v>
      </c>
      <c r="AF40">
        <f t="shared" si="33"/>
        <v>0.92</v>
      </c>
      <c r="AG40">
        <f t="shared" si="34"/>
        <v>0.89999999999999991</v>
      </c>
      <c r="AH40">
        <f t="shared" si="35"/>
        <v>0.92</v>
      </c>
      <c r="AI40">
        <f t="shared" si="36"/>
        <v>0.91</v>
      </c>
      <c r="AJ40">
        <f t="shared" si="37"/>
        <v>0.91</v>
      </c>
      <c r="AK40">
        <f t="shared" si="38"/>
        <v>0.85</v>
      </c>
      <c r="AL40">
        <f t="shared" si="39"/>
        <v>0.90999999999999992</v>
      </c>
      <c r="AM40">
        <f t="shared" si="40"/>
        <v>0.94</v>
      </c>
      <c r="AN40">
        <f t="shared" si="41"/>
        <v>0.86</v>
      </c>
      <c r="AO40">
        <f t="shared" si="42"/>
        <v>0.31</v>
      </c>
      <c r="AP40">
        <f t="shared" si="43"/>
        <v>0.31</v>
      </c>
      <c r="AQ40">
        <f t="shared" si="44"/>
        <v>0.11</v>
      </c>
      <c r="AR40">
        <f t="shared" si="45"/>
        <v>0.85000000000000009</v>
      </c>
      <c r="AS40">
        <f t="shared" si="46"/>
        <v>0.77</v>
      </c>
      <c r="AT40">
        <f t="shared" si="47"/>
        <v>0.79</v>
      </c>
      <c r="AU40">
        <f t="shared" si="48"/>
        <v>0.85000000000000009</v>
      </c>
      <c r="AV40">
        <f t="shared" si="49"/>
        <v>0.92</v>
      </c>
      <c r="AW40">
        <f t="shared" si="50"/>
        <v>0.9</v>
      </c>
      <c r="AX40">
        <f t="shared" si="51"/>
        <v>0.9</v>
      </c>
      <c r="AY40">
        <f t="shared" si="52"/>
        <v>0.95</v>
      </c>
      <c r="AZ40">
        <f t="shared" si="53"/>
        <v>0.90999999999999992</v>
      </c>
      <c r="BA40">
        <f t="shared" si="54"/>
        <v>0.95999999999999985</v>
      </c>
      <c r="BB40">
        <f t="shared" si="55"/>
        <v>0.97</v>
      </c>
      <c r="BC40">
        <f t="shared" si="56"/>
        <v>0.94</v>
      </c>
      <c r="BD40">
        <f t="shared" si="57"/>
        <v>0.9</v>
      </c>
      <c r="BE40">
        <f t="shared" si="58"/>
        <v>0.91</v>
      </c>
      <c r="BF40">
        <f t="shared" si="59"/>
        <v>0.98000000000000009</v>
      </c>
      <c r="BG40">
        <f t="shared" si="60"/>
        <v>0.94999999999999984</v>
      </c>
      <c r="BH40">
        <f t="shared" si="61"/>
        <v>0.90000000000000013</v>
      </c>
      <c r="BI40">
        <f t="shared" si="62"/>
        <v>0.96</v>
      </c>
      <c r="BJ40">
        <f t="shared" si="63"/>
        <v>0.97</v>
      </c>
      <c r="BK40">
        <f t="shared" si="64"/>
        <v>0.87</v>
      </c>
      <c r="BL40">
        <f t="shared" si="65"/>
        <v>0.8600000000000001</v>
      </c>
      <c r="BM40">
        <f t="shared" si="66"/>
        <v>0.87000000000000011</v>
      </c>
      <c r="BN40">
        <f t="shared" si="67"/>
        <v>0.92</v>
      </c>
      <c r="BO40">
        <f t="shared" si="68"/>
        <v>0.94</v>
      </c>
      <c r="BP40">
        <f t="shared" si="69"/>
        <v>0.86</v>
      </c>
      <c r="BQ40">
        <f t="shared" si="70"/>
        <v>0.94000000000000006</v>
      </c>
      <c r="BR40">
        <f t="shared" si="71"/>
        <v>0.85</v>
      </c>
      <c r="BS40">
        <f t="shared" si="72"/>
        <v>0.84000000000000008</v>
      </c>
      <c r="BT40">
        <f t="shared" si="73"/>
        <v>0.82000000000000006</v>
      </c>
      <c r="BU40">
        <f t="shared" si="74"/>
        <v>0.90000000000000013</v>
      </c>
      <c r="BV40">
        <f t="shared" si="75"/>
        <v>0.89999999999999991</v>
      </c>
      <c r="BW40">
        <f t="shared" si="76"/>
        <v>0.8600000000000001</v>
      </c>
      <c r="BX40">
        <f t="shared" si="77"/>
        <v>0.9</v>
      </c>
      <c r="BY40">
        <f t="shared" si="78"/>
        <v>0.99</v>
      </c>
      <c r="BZ40">
        <f t="shared" si="79"/>
        <v>0.9</v>
      </c>
      <c r="CA40">
        <f t="shared" si="80"/>
        <v>0.83000000000000007</v>
      </c>
      <c r="CB40">
        <f t="shared" si="81"/>
        <v>1</v>
      </c>
      <c r="CC40">
        <f t="shared" si="82"/>
        <v>1</v>
      </c>
      <c r="CD40">
        <f t="shared" si="83"/>
        <v>0.89999999999999991</v>
      </c>
      <c r="CE40">
        <f t="shared" si="84"/>
        <v>1</v>
      </c>
      <c r="CF40">
        <f t="shared" si="85"/>
        <v>1</v>
      </c>
      <c r="CG40">
        <f t="shared" si="86"/>
        <v>0.31</v>
      </c>
      <c r="CH40">
        <f t="shared" si="87"/>
        <v>0.11</v>
      </c>
      <c r="CI40">
        <f t="shared" si="88"/>
        <v>1</v>
      </c>
    </row>
    <row r="41" spans="2:87" x14ac:dyDescent="0.2">
      <c r="B41">
        <f t="shared" si="4"/>
        <v>0.99</v>
      </c>
      <c r="C41">
        <f t="shared" si="5"/>
        <v>0.98000000000000009</v>
      </c>
      <c r="D41">
        <f t="shared" si="6"/>
        <v>0.96</v>
      </c>
      <c r="E41">
        <f t="shared" si="7"/>
        <v>0.98</v>
      </c>
      <c r="F41">
        <f t="shared" si="8"/>
        <v>0.97</v>
      </c>
      <c r="G41">
        <f t="shared" si="9"/>
        <v>0.94000000000000006</v>
      </c>
      <c r="H41">
        <f t="shared" si="10"/>
        <v>0.96999999999999986</v>
      </c>
      <c r="I41">
        <f t="shared" si="11"/>
        <v>0.99</v>
      </c>
      <c r="J41">
        <f t="shared" si="12"/>
        <v>0.94000000000000006</v>
      </c>
      <c r="K41">
        <f t="shared" si="13"/>
        <v>0.9700000000000002</v>
      </c>
      <c r="L41">
        <f t="shared" si="14"/>
        <v>0.97</v>
      </c>
      <c r="M41">
        <f t="shared" si="15"/>
        <v>0.99</v>
      </c>
      <c r="N41" t="e">
        <f t="shared" si="16"/>
        <v>#DIV/0!</v>
      </c>
      <c r="O41" t="e">
        <f t="shared" si="17"/>
        <v>#DIV/0!</v>
      </c>
      <c r="P41" t="e">
        <f t="shared" si="18"/>
        <v>#DIV/0!</v>
      </c>
      <c r="Q41" t="e">
        <f t="shared" si="19"/>
        <v>#DIV/0!</v>
      </c>
      <c r="R41" t="e">
        <f t="shared" si="20"/>
        <v>#DIV/0!</v>
      </c>
      <c r="S41" t="e">
        <f t="shared" si="21"/>
        <v>#DIV/0!</v>
      </c>
      <c r="T41" t="e">
        <f t="shared" si="22"/>
        <v>#DIV/0!</v>
      </c>
      <c r="U41" t="e">
        <f t="shared" si="23"/>
        <v>#DIV/0!</v>
      </c>
      <c r="V41" t="e">
        <f t="shared" si="24"/>
        <v>#DIV/0!</v>
      </c>
      <c r="W41" t="e">
        <f t="shared" si="25"/>
        <v>#DIV/0!</v>
      </c>
      <c r="X41" t="e">
        <f t="shared" si="26"/>
        <v>#DIV/0!</v>
      </c>
      <c r="Y41" t="e">
        <f t="shared" si="27"/>
        <v>#DIV/0!</v>
      </c>
      <c r="Z41">
        <f t="shared" si="28"/>
        <v>0.31</v>
      </c>
      <c r="AA41" t="e">
        <v>#N/A</v>
      </c>
      <c r="AB41">
        <f t="shared" si="29"/>
        <v>0.31</v>
      </c>
      <c r="AC41">
        <f t="shared" si="30"/>
        <v>0.99</v>
      </c>
      <c r="AD41">
        <f t="shared" si="31"/>
        <v>0.9</v>
      </c>
      <c r="AE41">
        <f t="shared" si="32"/>
        <v>0.89000000000000012</v>
      </c>
      <c r="AF41">
        <f t="shared" si="33"/>
        <v>0.98</v>
      </c>
      <c r="AG41">
        <f t="shared" si="34"/>
        <v>0.97999999999999987</v>
      </c>
      <c r="AH41">
        <f t="shared" si="35"/>
        <v>0.97000000000000008</v>
      </c>
      <c r="AI41">
        <f t="shared" si="36"/>
        <v>0.95000000000000007</v>
      </c>
      <c r="AJ41">
        <f t="shared" si="37"/>
        <v>0.96000000000000008</v>
      </c>
      <c r="AK41">
        <f t="shared" si="38"/>
        <v>0.95</v>
      </c>
      <c r="AL41">
        <f t="shared" si="39"/>
        <v>0.98999999999999988</v>
      </c>
      <c r="AM41">
        <f t="shared" si="40"/>
        <v>0.96</v>
      </c>
      <c r="AN41">
        <f t="shared" si="41"/>
        <v>0.94</v>
      </c>
      <c r="AO41">
        <f t="shared" si="42"/>
        <v>0.31</v>
      </c>
      <c r="AP41">
        <f t="shared" si="43"/>
        <v>0.31</v>
      </c>
      <c r="AQ41">
        <f t="shared" si="44"/>
        <v>0.11</v>
      </c>
      <c r="AR41">
        <f t="shared" si="45"/>
        <v>0.91000000000000014</v>
      </c>
      <c r="AS41">
        <f t="shared" si="46"/>
        <v>0.92</v>
      </c>
      <c r="AT41">
        <f t="shared" si="47"/>
        <v>0.95000000000000007</v>
      </c>
      <c r="AU41">
        <f t="shared" si="48"/>
        <v>0.94000000000000006</v>
      </c>
      <c r="AV41">
        <f t="shared" si="49"/>
        <v>0.98</v>
      </c>
      <c r="AW41">
        <f t="shared" si="50"/>
        <v>0.97</v>
      </c>
      <c r="AX41">
        <f t="shared" si="51"/>
        <v>0.97</v>
      </c>
      <c r="AY41">
        <f t="shared" si="52"/>
        <v>0.99</v>
      </c>
      <c r="AZ41">
        <f t="shared" si="53"/>
        <v>0.97</v>
      </c>
      <c r="BA41">
        <f t="shared" si="54"/>
        <v>0.98999999999999988</v>
      </c>
      <c r="BB41">
        <f t="shared" si="55"/>
        <v>0.99</v>
      </c>
      <c r="BC41">
        <f t="shared" si="56"/>
        <v>0.98</v>
      </c>
      <c r="BD41">
        <f t="shared" si="57"/>
        <v>0.95000000000000007</v>
      </c>
      <c r="BE41">
        <f t="shared" si="58"/>
        <v>0.94000000000000006</v>
      </c>
      <c r="BF41">
        <f t="shared" si="59"/>
        <v>0.9900000000000001</v>
      </c>
      <c r="BG41">
        <f t="shared" si="60"/>
        <v>0.96999999999999986</v>
      </c>
      <c r="BH41">
        <f t="shared" si="61"/>
        <v>0.98000000000000009</v>
      </c>
      <c r="BI41">
        <f t="shared" si="62"/>
        <v>0.96</v>
      </c>
      <c r="BJ41">
        <f t="shared" si="63"/>
        <v>0.99</v>
      </c>
      <c r="BK41">
        <f t="shared" si="64"/>
        <v>0.97</v>
      </c>
      <c r="BL41">
        <f t="shared" si="65"/>
        <v>0.95000000000000007</v>
      </c>
      <c r="BM41">
        <f t="shared" si="66"/>
        <v>0.95000000000000007</v>
      </c>
      <c r="BN41">
        <f t="shared" si="67"/>
        <v>0.98</v>
      </c>
      <c r="BO41">
        <f t="shared" si="68"/>
        <v>0.97</v>
      </c>
      <c r="BP41">
        <f t="shared" si="69"/>
        <v>0.94</v>
      </c>
      <c r="BQ41">
        <f t="shared" si="70"/>
        <v>0.97000000000000008</v>
      </c>
      <c r="BR41">
        <f t="shared" si="71"/>
        <v>0.96</v>
      </c>
      <c r="BS41">
        <f t="shared" si="72"/>
        <v>0.92</v>
      </c>
      <c r="BT41">
        <f t="shared" si="73"/>
        <v>0.93</v>
      </c>
      <c r="BU41">
        <f t="shared" si="74"/>
        <v>0.95000000000000018</v>
      </c>
      <c r="BV41">
        <f t="shared" si="75"/>
        <v>0.95</v>
      </c>
      <c r="BW41">
        <f t="shared" si="76"/>
        <v>0.97000000000000008</v>
      </c>
      <c r="BX41">
        <f t="shared" si="77"/>
        <v>0.95000000000000007</v>
      </c>
      <c r="BY41">
        <f t="shared" si="78"/>
        <v>0.99</v>
      </c>
      <c r="BZ41">
        <f t="shared" si="79"/>
        <v>0.97</v>
      </c>
      <c r="CA41">
        <f t="shared" si="80"/>
        <v>0.93</v>
      </c>
      <c r="CB41">
        <f t="shared" si="81"/>
        <v>1</v>
      </c>
      <c r="CC41">
        <f t="shared" si="82"/>
        <v>1</v>
      </c>
      <c r="CD41">
        <f t="shared" si="83"/>
        <v>0.96</v>
      </c>
      <c r="CE41">
        <f t="shared" si="84"/>
        <v>1</v>
      </c>
      <c r="CF41">
        <f t="shared" si="85"/>
        <v>1</v>
      </c>
      <c r="CG41">
        <f t="shared" si="86"/>
        <v>0.31</v>
      </c>
      <c r="CH41">
        <f t="shared" si="87"/>
        <v>0.11</v>
      </c>
      <c r="CI41">
        <f t="shared" si="88"/>
        <v>1</v>
      </c>
    </row>
    <row r="42" spans="2:87" x14ac:dyDescent="0.2">
      <c r="B42">
        <f t="shared" si="4"/>
        <v>1</v>
      </c>
      <c r="C42">
        <f t="shared" si="5"/>
        <v>1</v>
      </c>
      <c r="D42">
        <f t="shared" si="6"/>
        <v>1</v>
      </c>
      <c r="E42">
        <f t="shared" si="7"/>
        <v>1</v>
      </c>
      <c r="F42">
        <f t="shared" si="8"/>
        <v>1</v>
      </c>
      <c r="G42">
        <f t="shared" si="9"/>
        <v>1</v>
      </c>
      <c r="H42">
        <f t="shared" si="10"/>
        <v>0.99999999999999989</v>
      </c>
      <c r="I42">
        <f t="shared" si="11"/>
        <v>0.99</v>
      </c>
      <c r="J42">
        <f t="shared" si="12"/>
        <v>1</v>
      </c>
      <c r="K42">
        <f t="shared" si="13"/>
        <v>1.0000000000000002</v>
      </c>
      <c r="L42">
        <f t="shared" si="14"/>
        <v>1</v>
      </c>
      <c r="M42">
        <f t="shared" si="15"/>
        <v>0.99</v>
      </c>
      <c r="N42" t="e">
        <f t="shared" si="16"/>
        <v>#DIV/0!</v>
      </c>
      <c r="O42" t="e">
        <f t="shared" si="17"/>
        <v>#DIV/0!</v>
      </c>
      <c r="P42" t="e">
        <f t="shared" si="18"/>
        <v>#DIV/0!</v>
      </c>
      <c r="Q42" t="e">
        <f t="shared" si="19"/>
        <v>#DIV/0!</v>
      </c>
      <c r="R42" t="e">
        <f t="shared" si="20"/>
        <v>#DIV/0!</v>
      </c>
      <c r="S42" t="e">
        <f t="shared" si="21"/>
        <v>#DIV/0!</v>
      </c>
      <c r="T42" t="e">
        <f t="shared" si="22"/>
        <v>#DIV/0!</v>
      </c>
      <c r="U42" t="e">
        <f t="shared" si="23"/>
        <v>#DIV/0!</v>
      </c>
      <c r="V42" t="e">
        <f t="shared" si="24"/>
        <v>#DIV/0!</v>
      </c>
      <c r="W42" t="e">
        <f t="shared" si="25"/>
        <v>#DIV/0!</v>
      </c>
      <c r="X42" t="e">
        <f t="shared" si="26"/>
        <v>#DIV/0!</v>
      </c>
      <c r="Y42" t="e">
        <f t="shared" si="27"/>
        <v>#DIV/0!</v>
      </c>
      <c r="Z42">
        <f t="shared" si="28"/>
        <v>1</v>
      </c>
      <c r="AA42" t="e">
        <v>#N/A</v>
      </c>
      <c r="AB42">
        <f t="shared" si="29"/>
        <v>1</v>
      </c>
      <c r="AC42">
        <f t="shared" si="30"/>
        <v>1</v>
      </c>
      <c r="AD42">
        <f t="shared" si="31"/>
        <v>1</v>
      </c>
      <c r="AE42">
        <f t="shared" si="32"/>
        <v>1.0000000000000002</v>
      </c>
      <c r="AF42">
        <f t="shared" si="33"/>
        <v>1</v>
      </c>
      <c r="AG42">
        <f t="shared" si="34"/>
        <v>0.99999999999999989</v>
      </c>
      <c r="AH42">
        <f t="shared" si="35"/>
        <v>1</v>
      </c>
      <c r="AI42">
        <f t="shared" si="36"/>
        <v>1</v>
      </c>
      <c r="AJ42">
        <f t="shared" si="37"/>
        <v>1</v>
      </c>
      <c r="AK42">
        <f t="shared" si="38"/>
        <v>1</v>
      </c>
      <c r="AL42">
        <f t="shared" si="39"/>
        <v>0.99999999999999989</v>
      </c>
      <c r="AM42">
        <f t="shared" si="40"/>
        <v>1</v>
      </c>
      <c r="AN42">
        <f t="shared" si="41"/>
        <v>1</v>
      </c>
      <c r="AO42">
        <f t="shared" si="42"/>
        <v>1</v>
      </c>
      <c r="AP42">
        <f t="shared" si="43"/>
        <v>1</v>
      </c>
      <c r="AQ42">
        <f t="shared" si="44"/>
        <v>1</v>
      </c>
      <c r="AR42">
        <f t="shared" si="45"/>
        <v>1.0000000000000002</v>
      </c>
      <c r="AS42">
        <f t="shared" si="46"/>
        <v>1</v>
      </c>
      <c r="AT42">
        <f t="shared" si="47"/>
        <v>1</v>
      </c>
      <c r="AU42">
        <f t="shared" si="48"/>
        <v>1</v>
      </c>
      <c r="AV42">
        <f t="shared" si="49"/>
        <v>1</v>
      </c>
      <c r="AW42">
        <f t="shared" si="50"/>
        <v>1</v>
      </c>
      <c r="AX42">
        <f t="shared" si="51"/>
        <v>1</v>
      </c>
      <c r="AY42">
        <f t="shared" si="52"/>
        <v>1</v>
      </c>
      <c r="AZ42">
        <f t="shared" si="53"/>
        <v>1</v>
      </c>
      <c r="BA42">
        <f t="shared" si="54"/>
        <v>0.99999999999999989</v>
      </c>
      <c r="BB42">
        <f t="shared" si="55"/>
        <v>1</v>
      </c>
      <c r="BC42">
        <f t="shared" si="56"/>
        <v>1</v>
      </c>
      <c r="BD42">
        <f t="shared" si="57"/>
        <v>1</v>
      </c>
      <c r="BE42">
        <f t="shared" si="58"/>
        <v>1</v>
      </c>
      <c r="BF42">
        <f t="shared" si="59"/>
        <v>1</v>
      </c>
      <c r="BG42">
        <f t="shared" si="60"/>
        <v>0.99999999999999989</v>
      </c>
      <c r="BH42">
        <f t="shared" si="61"/>
        <v>1</v>
      </c>
      <c r="BI42">
        <f t="shared" si="62"/>
        <v>1</v>
      </c>
      <c r="BJ42">
        <f t="shared" si="63"/>
        <v>1</v>
      </c>
      <c r="BK42">
        <f t="shared" si="64"/>
        <v>1</v>
      </c>
      <c r="BL42">
        <f t="shared" si="65"/>
        <v>1</v>
      </c>
      <c r="BM42">
        <f t="shared" si="66"/>
        <v>1</v>
      </c>
      <c r="BN42">
        <f t="shared" si="67"/>
        <v>1</v>
      </c>
      <c r="BO42">
        <f t="shared" si="68"/>
        <v>1</v>
      </c>
      <c r="BP42">
        <f t="shared" si="69"/>
        <v>1</v>
      </c>
      <c r="BQ42">
        <f t="shared" si="70"/>
        <v>1</v>
      </c>
      <c r="BR42">
        <f t="shared" si="71"/>
        <v>1</v>
      </c>
      <c r="BS42">
        <f t="shared" si="72"/>
        <v>1</v>
      </c>
      <c r="BT42">
        <f t="shared" si="73"/>
        <v>1</v>
      </c>
      <c r="BU42">
        <f t="shared" si="74"/>
        <v>1.0000000000000002</v>
      </c>
      <c r="BV42">
        <f t="shared" si="75"/>
        <v>1</v>
      </c>
      <c r="BW42">
        <f t="shared" si="76"/>
        <v>1</v>
      </c>
      <c r="BX42">
        <f t="shared" si="77"/>
        <v>1</v>
      </c>
      <c r="BY42">
        <f t="shared" si="78"/>
        <v>1</v>
      </c>
      <c r="BZ42">
        <f t="shared" si="79"/>
        <v>1</v>
      </c>
      <c r="CA42">
        <f t="shared" si="80"/>
        <v>1</v>
      </c>
      <c r="CB42">
        <f t="shared" si="81"/>
        <v>1</v>
      </c>
      <c r="CC42">
        <f t="shared" si="82"/>
        <v>1</v>
      </c>
      <c r="CD42">
        <f t="shared" si="83"/>
        <v>1</v>
      </c>
      <c r="CE42">
        <f t="shared" si="84"/>
        <v>1</v>
      </c>
      <c r="CF42">
        <f t="shared" si="85"/>
        <v>1</v>
      </c>
      <c r="CG42">
        <f t="shared" si="86"/>
        <v>1</v>
      </c>
      <c r="CH42">
        <f t="shared" si="87"/>
        <v>1</v>
      </c>
      <c r="CI42">
        <f t="shared" si="88"/>
        <v>1</v>
      </c>
    </row>
    <row r="43" spans="2:87" x14ac:dyDescent="0.2">
      <c r="B43">
        <f t="shared" si="4"/>
        <v>1</v>
      </c>
      <c r="C43">
        <f t="shared" si="5"/>
        <v>1</v>
      </c>
      <c r="D43">
        <f t="shared" si="6"/>
        <v>1</v>
      </c>
      <c r="E43">
        <f t="shared" si="7"/>
        <v>1</v>
      </c>
      <c r="F43">
        <f t="shared" si="8"/>
        <v>1</v>
      </c>
      <c r="G43">
        <f t="shared" si="9"/>
        <v>1</v>
      </c>
      <c r="H43">
        <f t="shared" si="10"/>
        <v>0.99999999999999989</v>
      </c>
      <c r="I43">
        <f t="shared" si="11"/>
        <v>1</v>
      </c>
      <c r="J43">
        <f t="shared" si="12"/>
        <v>1</v>
      </c>
      <c r="K43">
        <f t="shared" si="13"/>
        <v>1.0000000000000002</v>
      </c>
      <c r="L43">
        <f t="shared" si="14"/>
        <v>1</v>
      </c>
      <c r="M43">
        <f t="shared" si="15"/>
        <v>1</v>
      </c>
      <c r="N43" t="e">
        <f t="shared" si="16"/>
        <v>#DIV/0!</v>
      </c>
      <c r="O43" t="e">
        <f t="shared" si="17"/>
        <v>#DIV/0!</v>
      </c>
      <c r="P43" t="e">
        <f t="shared" si="18"/>
        <v>#DIV/0!</v>
      </c>
      <c r="Q43" t="e">
        <f t="shared" si="19"/>
        <v>#DIV/0!</v>
      </c>
      <c r="R43" t="e">
        <f t="shared" si="20"/>
        <v>#DIV/0!</v>
      </c>
      <c r="S43" t="e">
        <f t="shared" si="21"/>
        <v>#DIV/0!</v>
      </c>
      <c r="T43" t="e">
        <f t="shared" si="22"/>
        <v>#DIV/0!</v>
      </c>
      <c r="U43" t="e">
        <f t="shared" si="23"/>
        <v>#DIV/0!</v>
      </c>
      <c r="V43" t="e">
        <f t="shared" si="24"/>
        <v>#DIV/0!</v>
      </c>
      <c r="W43" t="e">
        <f t="shared" si="25"/>
        <v>#DIV/0!</v>
      </c>
      <c r="X43" t="e">
        <f t="shared" si="26"/>
        <v>#DIV/0!</v>
      </c>
      <c r="Y43" t="e">
        <f t="shared" si="27"/>
        <v>#DIV/0!</v>
      </c>
      <c r="Z43">
        <f t="shared" si="28"/>
        <v>1</v>
      </c>
      <c r="AA43" t="e">
        <v>#N/A</v>
      </c>
      <c r="AB43">
        <f t="shared" si="29"/>
        <v>1</v>
      </c>
      <c r="AC43">
        <f t="shared" si="30"/>
        <v>1</v>
      </c>
      <c r="AD43">
        <f t="shared" si="31"/>
        <v>1</v>
      </c>
      <c r="AE43">
        <f t="shared" si="32"/>
        <v>1.0000000000000002</v>
      </c>
      <c r="AF43">
        <f t="shared" si="33"/>
        <v>1</v>
      </c>
      <c r="AG43">
        <f t="shared" si="34"/>
        <v>0.99999999999999989</v>
      </c>
      <c r="AH43">
        <f t="shared" si="35"/>
        <v>1</v>
      </c>
      <c r="AI43">
        <f t="shared" si="36"/>
        <v>1</v>
      </c>
      <c r="AJ43">
        <f t="shared" si="37"/>
        <v>1</v>
      </c>
      <c r="AK43">
        <f t="shared" si="38"/>
        <v>1</v>
      </c>
      <c r="AL43">
        <f t="shared" si="39"/>
        <v>0.99999999999999989</v>
      </c>
      <c r="AM43">
        <f t="shared" si="40"/>
        <v>1</v>
      </c>
      <c r="AN43">
        <f t="shared" si="41"/>
        <v>1</v>
      </c>
      <c r="AO43">
        <f t="shared" si="42"/>
        <v>1</v>
      </c>
      <c r="AP43">
        <f t="shared" si="43"/>
        <v>1</v>
      </c>
      <c r="AQ43">
        <f t="shared" si="44"/>
        <v>1</v>
      </c>
      <c r="AR43">
        <f t="shared" si="45"/>
        <v>1.0000000000000002</v>
      </c>
      <c r="AS43">
        <f t="shared" si="46"/>
        <v>1</v>
      </c>
      <c r="AT43">
        <f t="shared" si="47"/>
        <v>1</v>
      </c>
      <c r="AU43">
        <f t="shared" si="48"/>
        <v>1</v>
      </c>
      <c r="AV43">
        <f t="shared" si="49"/>
        <v>1</v>
      </c>
      <c r="AW43">
        <f t="shared" si="50"/>
        <v>1</v>
      </c>
      <c r="AX43">
        <f t="shared" si="51"/>
        <v>1</v>
      </c>
      <c r="AY43">
        <f t="shared" si="52"/>
        <v>1</v>
      </c>
      <c r="AZ43">
        <f t="shared" si="53"/>
        <v>1</v>
      </c>
      <c r="BA43">
        <f t="shared" si="54"/>
        <v>0.99999999999999989</v>
      </c>
      <c r="BB43">
        <f t="shared" si="55"/>
        <v>1</v>
      </c>
      <c r="BC43">
        <f t="shared" si="56"/>
        <v>1</v>
      </c>
      <c r="BD43">
        <f t="shared" si="57"/>
        <v>1</v>
      </c>
      <c r="BE43">
        <f t="shared" si="58"/>
        <v>1</v>
      </c>
      <c r="BF43">
        <f t="shared" si="59"/>
        <v>1</v>
      </c>
      <c r="BG43">
        <f t="shared" si="60"/>
        <v>0.99999999999999989</v>
      </c>
      <c r="BH43">
        <f t="shared" si="61"/>
        <v>1</v>
      </c>
      <c r="BI43">
        <f t="shared" si="62"/>
        <v>1</v>
      </c>
      <c r="BJ43">
        <f t="shared" si="63"/>
        <v>1</v>
      </c>
      <c r="BK43">
        <f t="shared" si="64"/>
        <v>1</v>
      </c>
      <c r="BL43">
        <f t="shared" si="65"/>
        <v>1</v>
      </c>
      <c r="BM43">
        <f t="shared" si="66"/>
        <v>1</v>
      </c>
      <c r="BN43">
        <f t="shared" si="67"/>
        <v>1</v>
      </c>
      <c r="BO43">
        <f t="shared" si="68"/>
        <v>1</v>
      </c>
      <c r="BP43">
        <f t="shared" si="69"/>
        <v>1</v>
      </c>
      <c r="BQ43">
        <f t="shared" si="70"/>
        <v>1</v>
      </c>
      <c r="BR43">
        <f t="shared" si="71"/>
        <v>1</v>
      </c>
      <c r="BS43">
        <f t="shared" si="72"/>
        <v>1</v>
      </c>
      <c r="BT43">
        <f t="shared" si="73"/>
        <v>1</v>
      </c>
      <c r="BU43">
        <f t="shared" si="74"/>
        <v>1.0000000000000002</v>
      </c>
      <c r="BV43">
        <f t="shared" si="75"/>
        <v>1</v>
      </c>
      <c r="BW43">
        <f t="shared" si="76"/>
        <v>1</v>
      </c>
      <c r="BX43">
        <f t="shared" si="77"/>
        <v>1</v>
      </c>
      <c r="BY43">
        <f t="shared" si="78"/>
        <v>1</v>
      </c>
      <c r="BZ43">
        <f t="shared" si="79"/>
        <v>1</v>
      </c>
      <c r="CA43">
        <f t="shared" si="80"/>
        <v>1</v>
      </c>
      <c r="CB43">
        <f t="shared" si="81"/>
        <v>1</v>
      </c>
      <c r="CC43">
        <f t="shared" si="82"/>
        <v>1</v>
      </c>
      <c r="CD43">
        <f t="shared" si="83"/>
        <v>1</v>
      </c>
      <c r="CE43">
        <f t="shared" si="84"/>
        <v>1</v>
      </c>
      <c r="CF43">
        <f t="shared" si="85"/>
        <v>1</v>
      </c>
      <c r="CG43">
        <f t="shared" si="86"/>
        <v>1</v>
      </c>
      <c r="CH43">
        <f t="shared" si="87"/>
        <v>1</v>
      </c>
      <c r="CI43">
        <f t="shared" si="88"/>
        <v>1</v>
      </c>
    </row>
    <row r="44" spans="2:87" x14ac:dyDescent="0.2">
      <c r="AA44" t="e">
        <v>#N/A</v>
      </c>
    </row>
    <row r="45" spans="2:87" x14ac:dyDescent="0.2">
      <c r="B45" t="str">
        <f t="shared" ref="B45:B56" si="89">B6 &amp; " : " &amp; B7</f>
        <v>70.07 : 71.21</v>
      </c>
      <c r="C45" t="str">
        <f t="shared" ref="C45:C56" si="90">C6 &amp; " : " &amp; C7</f>
        <v>70.54 : 71.6</v>
      </c>
      <c r="D45" t="str">
        <f t="shared" ref="D45:D56" si="91">D6 &amp; " : " &amp; D7</f>
        <v>66.71 : 68.15</v>
      </c>
      <c r="E45" t="str">
        <f t="shared" ref="E45:E56" si="92">E6 &amp; " : " &amp; E7</f>
        <v>70.1 : 71.27</v>
      </c>
      <c r="F45" t="str">
        <f t="shared" ref="F45:F56" si="93">F6 &amp; " : " &amp; F7</f>
        <v>66.9 : 68.38</v>
      </c>
      <c r="G45" t="str">
        <f t="shared" ref="G45:G56" si="94">G6 &amp; " : " &amp; G7</f>
        <v>70.39 : 71.44</v>
      </c>
      <c r="H45" t="str">
        <f t="shared" ref="H45:H56" si="95">H6 &amp; " : " &amp; H7</f>
        <v>66.67 : 68.14</v>
      </c>
      <c r="I45" t="str">
        <f t="shared" ref="I45:I56" si="96">I6 &amp; " : " &amp; I7</f>
        <v>68.13 : 69.57</v>
      </c>
      <c r="J45" t="str">
        <f t="shared" ref="J45:J56" si="97">J6 &amp; " : " &amp; J7</f>
        <v>70.16 : 71.33</v>
      </c>
      <c r="K45" t="str">
        <f t="shared" ref="K45:K56" si="98">K6 &amp; " : " &amp; K7</f>
        <v>71.41 : 72.41</v>
      </c>
      <c r="L45" t="str">
        <f t="shared" ref="L45:L56" si="99">L6 &amp; " : " &amp; L7</f>
        <v>68.57 : 69.92</v>
      </c>
      <c r="M45" t="str">
        <f t="shared" ref="M45:M56" si="100">M6 &amp; " : " &amp; M7</f>
        <v>68.39 : 69.96</v>
      </c>
      <c r="N45" t="str">
        <f t="shared" ref="N45:N56" si="101">N6 &amp; " : " &amp; N7</f>
        <v>0 : 0</v>
      </c>
      <c r="O45" t="str">
        <f t="shared" ref="O45:O56" si="102">O6 &amp; " : " &amp; O7</f>
        <v>0 : 0</v>
      </c>
      <c r="P45" t="str">
        <f t="shared" ref="P45:P56" si="103">P6 &amp; " : " &amp; P7</f>
        <v>0 : 0</v>
      </c>
      <c r="Q45" t="str">
        <f t="shared" ref="Q45:Q56" si="104">Q6 &amp; " : " &amp; Q7</f>
        <v>0 : 0</v>
      </c>
      <c r="R45" t="str">
        <f t="shared" ref="R45:R56" si="105">R6 &amp; " : " &amp; R7</f>
        <v>0 : 0</v>
      </c>
      <c r="S45" t="str">
        <f t="shared" ref="S45:S56" si="106">S6 &amp; " : " &amp; S7</f>
        <v>0 : 0</v>
      </c>
      <c r="T45" t="str">
        <f t="shared" ref="T45:T56" si="107">T6 &amp; " : " &amp; T7</f>
        <v>0 : 0</v>
      </c>
      <c r="U45" t="str">
        <f t="shared" ref="U45:U56" si="108">U6 &amp; " : " &amp; U7</f>
        <v>0 : 0</v>
      </c>
      <c r="V45" t="str">
        <f t="shared" ref="V45:V56" si="109">V6 &amp; " : " &amp; V7</f>
        <v>0 : 0</v>
      </c>
      <c r="W45" t="str">
        <f t="shared" ref="W45:W56" si="110">W6 &amp; " : " &amp; W7</f>
        <v>0 : 0</v>
      </c>
      <c r="X45" t="str">
        <f t="shared" ref="X45:X56" si="111">X6 &amp; " : " &amp; X7</f>
        <v>0 : 0</v>
      </c>
      <c r="Y45" t="str">
        <f t="shared" ref="Y45:Y56" si="112">Y6 &amp; " : " &amp; Y7</f>
        <v>0 : 0</v>
      </c>
      <c r="Z45" t="str">
        <f t="shared" ref="Z45:Z56" si="113">Z6 &amp; " : " &amp; Z7</f>
        <v>49 : 50</v>
      </c>
      <c r="AA45" t="e">
        <v>#N/A</v>
      </c>
      <c r="AB45" t="str">
        <f t="shared" ref="AB45:AB56" si="114">AB6 &amp; " : " &amp; AB7</f>
        <v>49 : 50</v>
      </c>
      <c r="AC45" t="str">
        <f t="shared" ref="AC45:AC56" si="115">AC6 &amp; " : " &amp; AC7</f>
        <v>70.07 : 71.21</v>
      </c>
      <c r="AD45" t="str">
        <f t="shared" ref="AD45:AD56" si="116">AD6 &amp; " : " &amp; AD7</f>
        <v>71.77 : 72.55</v>
      </c>
      <c r="AE45" t="str">
        <f t="shared" ref="AE45:AE56" si="117">AE6 &amp; " : " &amp; AE7</f>
        <v>70.29 : 71.18</v>
      </c>
      <c r="AF45" t="str">
        <f t="shared" ref="AF45:AF56" si="118">AF6 &amp; " : " &amp; AF7</f>
        <v>69.94 : 71.03</v>
      </c>
      <c r="AG45" t="str">
        <f t="shared" ref="AG45:AG56" si="119">AG6 &amp; " : " &amp; AG7</f>
        <v>70.69 : 71.71</v>
      </c>
      <c r="AH45" t="str">
        <f t="shared" ref="AH45:AH56" si="120">AH6 &amp; " : " &amp; AH7</f>
        <v>70.12 : 71.2</v>
      </c>
      <c r="AI45" t="str">
        <f t="shared" ref="AI45:AI56" si="121">AI6 &amp; " : " &amp; AI7</f>
        <v>69.92 : 70.96</v>
      </c>
      <c r="AJ45" t="str">
        <f t="shared" ref="AJ45:AJ56" si="122">AJ6 &amp; " : " &amp; AJ7</f>
        <v>69.47 : 70.62</v>
      </c>
      <c r="AK45" t="str">
        <f t="shared" ref="AK45:AK56" si="123">AK6 &amp; " : " &amp; AK7</f>
        <v>71.84 : 72.73</v>
      </c>
      <c r="AL45" t="str">
        <f t="shared" ref="AL45:AL56" si="124">AL6 &amp; " : " &amp; AL7</f>
        <v>71.12 : 72.07</v>
      </c>
      <c r="AM45" t="str">
        <f t="shared" ref="AM45:AM56" si="125">AM6 &amp; " : " &amp; AM7</f>
        <v>71.1 : 72.08</v>
      </c>
      <c r="AN45" t="str">
        <f t="shared" ref="AN45:AN56" si="126">AN6 &amp; " : " &amp; AN7</f>
        <v>72.44 : 73.27</v>
      </c>
      <c r="AO45" t="str">
        <f t="shared" ref="AO45:AO56" si="127">AO6 &amp; " : " &amp; AO7</f>
        <v>49 : 50</v>
      </c>
      <c r="AP45" t="str">
        <f t="shared" ref="AP45:AP56" si="128">AP6 &amp; " : " &amp; AP7</f>
        <v>49 : 50</v>
      </c>
      <c r="AQ45" t="str">
        <f t="shared" ref="AQ45:AQ56" si="129">AQ6 &amp; " : " &amp; AQ7</f>
        <v>49 : 50</v>
      </c>
      <c r="AR45" t="str">
        <f t="shared" ref="AR45:AR56" si="130">AR6 &amp; " : " &amp; AR7</f>
        <v>67.9 : 69.34</v>
      </c>
      <c r="AS45" t="str">
        <f t="shared" ref="AS45:AS56" si="131">AS6 &amp; " : " &amp; AS7</f>
        <v>64.84 : 66.51</v>
      </c>
      <c r="AT45" t="str">
        <f t="shared" ref="AT45:AT56" si="132">AT6 &amp; " : " &amp; AT7</f>
        <v>63.47 : 65.26</v>
      </c>
      <c r="AU45" t="str">
        <f t="shared" ref="AU45:AU56" si="133">AU6 &amp; " : " &amp; AU7</f>
        <v>64.24 : 66.12</v>
      </c>
      <c r="AV45" t="str">
        <f t="shared" ref="AV45:AV56" si="134">AV6 &amp; " : " &amp; AV7</f>
        <v>64.84 : 66.71</v>
      </c>
      <c r="AW45" t="str">
        <f t="shared" ref="AW45:AW56" si="135">AW6 &amp; " : " &amp; AW7</f>
        <v>65.12 : 66.98</v>
      </c>
      <c r="AX45" t="str">
        <f t="shared" ref="AX45:AX56" si="136">AX6 &amp; " : " &amp; AX7</f>
        <v>62.57 : 64.67</v>
      </c>
      <c r="AY45" t="str">
        <f t="shared" ref="AY45:AY56" si="137">AY6 &amp; " : " &amp; AY7</f>
        <v>67 : 68.72</v>
      </c>
      <c r="AZ45" t="str">
        <f t="shared" ref="AZ45:AZ56" si="138">AZ6 &amp; " : " &amp; AZ7</f>
        <v>69.98 : 71.26</v>
      </c>
      <c r="BA45" t="str">
        <f t="shared" ref="BA45:BA56" si="139">BA6 &amp; " : " &amp; BA7</f>
        <v>64.18 : 66.28</v>
      </c>
      <c r="BB45" t="str">
        <f t="shared" ref="BB45:BB56" si="140">BB6 &amp; " : " &amp; BB7</f>
        <v>65.38 : 67.28</v>
      </c>
      <c r="BC45" t="str">
        <f t="shared" ref="BC45:BC56" si="141">BC6 &amp; " : " &amp; BC7</f>
        <v>67.21 : 68.71</v>
      </c>
      <c r="BD45" t="str">
        <f t="shared" ref="BD45:BD56" si="142">BD6 &amp; " : " &amp; BD7</f>
        <v>67.02 : 68.49</v>
      </c>
      <c r="BE45" t="str">
        <f t="shared" ref="BE45:BE56" si="143">BE6 &amp; " : " &amp; BE7</f>
        <v>67.65 : 69.12</v>
      </c>
      <c r="BF45" t="str">
        <f t="shared" ref="BF45:BF56" si="144">BF6 &amp; " : " &amp; BF7</f>
        <v>64.66 : 66.79</v>
      </c>
      <c r="BG45" t="str">
        <f t="shared" ref="BG45:BG56" si="145">BG6 &amp; " : " &amp; BG7</f>
        <v>68.34 : 69.89</v>
      </c>
      <c r="BH45" t="str">
        <f t="shared" ref="BH45:BH56" si="146">BH6 &amp; " : " &amp; BH7</f>
        <v>67.17 : 68.78</v>
      </c>
      <c r="BI45" t="str">
        <f t="shared" ref="BI45:BI56" si="147">BI6 &amp; " : " &amp; BI7</f>
        <v>67.33 : 68.96</v>
      </c>
      <c r="BJ45" t="str">
        <f t="shared" ref="BJ45:BJ56" si="148">BJ6 &amp; " : " &amp; BJ7</f>
        <v>66.57 : 68.53</v>
      </c>
      <c r="BK45" t="str">
        <f t="shared" ref="BK45:BK56" si="149">BK6 &amp; " : " &amp; BK7</f>
        <v>67.2 : 68.77</v>
      </c>
      <c r="BL45" t="str">
        <f t="shared" ref="BL45:BL56" si="150">BL6 &amp; " : " &amp; BL7</f>
        <v>68.59 : 69.85</v>
      </c>
      <c r="BM45" t="str">
        <f t="shared" ref="BM45:BM56" si="151">BM6 &amp; " : " &amp; BM7</f>
        <v>69.6 : 70.84</v>
      </c>
      <c r="BN45" t="str">
        <f t="shared" ref="BN45:BN56" si="152">BN6 &amp; " : " &amp; BN7</f>
        <v>67.11 : 68.81</v>
      </c>
      <c r="BO45" t="str">
        <f t="shared" ref="BO45:BO56" si="153">BO6 &amp; " : " &amp; BO7</f>
        <v>66.58 : 68.32</v>
      </c>
      <c r="BP45" t="str">
        <f t="shared" ref="BP45:BP56" si="154">BP6 &amp; " : " &amp; BP7</f>
        <v>67.05 : 68.57</v>
      </c>
      <c r="BQ45" t="str">
        <f t="shared" ref="BQ45:BQ56" si="155">BQ6 &amp; " : " &amp; BQ7</f>
        <v>63.62 : 65.63</v>
      </c>
      <c r="BR45" t="str">
        <f t="shared" ref="BR45:BR56" si="156">BR6 &amp; " : " &amp; BR7</f>
        <v>64.03 : 65.85</v>
      </c>
      <c r="BS45" t="str">
        <f t="shared" ref="BS45:BS56" si="157">BS6 &amp; " : " &amp; BS7</f>
        <v>65.38 : 67</v>
      </c>
      <c r="BT45" t="str">
        <f t="shared" ref="BT45:BT56" si="158">BT6 &amp; " : " &amp; BT7</f>
        <v>63.91 : 65.77</v>
      </c>
      <c r="BU45" t="str">
        <f t="shared" ref="BU45:BU56" si="159">BU6 &amp; " : " &amp; BU7</f>
        <v>66.87 : 68.42</v>
      </c>
      <c r="BV45" t="str">
        <f t="shared" ref="BV45:BV56" si="160">BV6 &amp; " : " &amp; BV7</f>
        <v>64.9 : 66.7</v>
      </c>
      <c r="BW45" t="str">
        <f t="shared" ref="BW45:BW56" si="161">BW6 &amp; " : " &amp; BW7</f>
        <v>65.28 : 66.94</v>
      </c>
      <c r="BX45" t="str">
        <f t="shared" ref="BX45:BX56" si="162">BX6 &amp; " : " &amp; BX7</f>
        <v>69.32 : 70.71</v>
      </c>
      <c r="BY45" t="str">
        <f t="shared" ref="BY45:BY56" si="163">BY6 &amp; " : " &amp; BY7</f>
        <v>67.62 : 69.39</v>
      </c>
      <c r="BZ45" t="str">
        <f t="shared" ref="BZ45:BZ56" si="164">BZ6 &amp; " : " &amp; BZ7</f>
        <v>68.38 : 69.78</v>
      </c>
      <c r="CA45" t="str">
        <f t="shared" ref="CA45:CA56" si="165">CA6 &amp; " : " &amp; CA7</f>
        <v>64.88 : 66.62</v>
      </c>
      <c r="CB45" t="str">
        <f t="shared" ref="CB45:CB56" si="166">CB6 &amp; " : " &amp; CB7</f>
        <v>45.32 : 46.66</v>
      </c>
      <c r="CC45" t="str">
        <f t="shared" ref="CC45:CC56" si="167">CC6 &amp; " : " &amp; CC7</f>
        <v>45.32 : 46.66</v>
      </c>
      <c r="CD45" t="str">
        <f t="shared" ref="CD45:CD56" si="168">CD6 &amp; " : " &amp; CD7</f>
        <v>74.6 : 75</v>
      </c>
      <c r="CE45" t="str">
        <f t="shared" ref="CE45:CE56" si="169">CE6 &amp; " : " &amp; CE7</f>
        <v>60 : 60</v>
      </c>
      <c r="CF45" t="str">
        <f t="shared" ref="CF45:CF56" si="170">CF6 &amp; " : " &amp; CF7</f>
        <v>44 : 46</v>
      </c>
      <c r="CG45" t="str">
        <f t="shared" ref="CG45:CG56" si="171">CG6 &amp; " : " &amp; CG7</f>
        <v>49 : 50</v>
      </c>
      <c r="CH45" t="str">
        <f t="shared" ref="CH45:CH56" si="172">CH6 &amp; " : " &amp; CH7</f>
        <v>49 : 50</v>
      </c>
      <c r="CI45" t="str">
        <f t="shared" ref="CI45:CI56" si="173">CI6 &amp; " : " &amp; CI7</f>
        <v>60 : 60</v>
      </c>
    </row>
    <row r="46" spans="2:87" x14ac:dyDescent="0.2">
      <c r="B46" t="str">
        <f t="shared" si="89"/>
        <v>71.21 : 72.35</v>
      </c>
      <c r="C46" t="str">
        <f t="shared" si="90"/>
        <v>71.6 : 72.66</v>
      </c>
      <c r="D46" t="str">
        <f t="shared" si="91"/>
        <v>68.15 : 69.59</v>
      </c>
      <c r="E46" t="str">
        <f t="shared" si="92"/>
        <v>71.27 : 72.44</v>
      </c>
      <c r="F46" t="str">
        <f t="shared" si="93"/>
        <v>68.38 : 69.86</v>
      </c>
      <c r="G46" t="str">
        <f t="shared" si="94"/>
        <v>71.44 : 72.49</v>
      </c>
      <c r="H46" t="str">
        <f t="shared" si="95"/>
        <v>68.14 : 69.61</v>
      </c>
      <c r="I46" t="str">
        <f t="shared" si="96"/>
        <v>69.57 : 71.01</v>
      </c>
      <c r="J46" t="str">
        <f t="shared" si="97"/>
        <v>71.33 : 72.5</v>
      </c>
      <c r="K46" t="str">
        <f t="shared" si="98"/>
        <v>72.41 : 73.41</v>
      </c>
      <c r="L46" t="str">
        <f t="shared" si="99"/>
        <v>69.92 : 71.27</v>
      </c>
      <c r="M46" t="str">
        <f t="shared" si="100"/>
        <v>69.96 : 71.53</v>
      </c>
      <c r="N46" t="str">
        <f t="shared" si="101"/>
        <v>0 : 0</v>
      </c>
      <c r="O46" t="str">
        <f t="shared" si="102"/>
        <v>0 : 0</v>
      </c>
      <c r="P46" t="str">
        <f t="shared" si="103"/>
        <v>0 : 0</v>
      </c>
      <c r="Q46" t="str">
        <f t="shared" si="104"/>
        <v>0 : 0</v>
      </c>
      <c r="R46" t="str">
        <f t="shared" si="105"/>
        <v>0 : 0</v>
      </c>
      <c r="S46" t="str">
        <f t="shared" si="106"/>
        <v>0 : 0</v>
      </c>
      <c r="T46" t="str">
        <f t="shared" si="107"/>
        <v>0 : 0</v>
      </c>
      <c r="U46" t="str">
        <f t="shared" si="108"/>
        <v>0 : 0</v>
      </c>
      <c r="V46" t="str">
        <f t="shared" si="109"/>
        <v>0 : 0</v>
      </c>
      <c r="W46" t="str">
        <f t="shared" si="110"/>
        <v>0 : 0</v>
      </c>
      <c r="X46" t="str">
        <f t="shared" si="111"/>
        <v>0 : 0</v>
      </c>
      <c r="Y46" t="str">
        <f t="shared" si="112"/>
        <v>0 : 0</v>
      </c>
      <c r="Z46" t="str">
        <f t="shared" si="113"/>
        <v>50 : 51</v>
      </c>
      <c r="AA46" t="e">
        <v>#N/A</v>
      </c>
      <c r="AB46" t="str">
        <f t="shared" si="114"/>
        <v>50 : 51</v>
      </c>
      <c r="AC46" t="str">
        <f t="shared" si="115"/>
        <v>71.21 : 72.35</v>
      </c>
      <c r="AD46" t="str">
        <f t="shared" si="116"/>
        <v>72.55 : 73.33</v>
      </c>
      <c r="AE46" t="str">
        <f t="shared" si="117"/>
        <v>71.18 : 72.07</v>
      </c>
      <c r="AF46" t="str">
        <f t="shared" si="118"/>
        <v>71.03 : 72.12</v>
      </c>
      <c r="AG46" t="str">
        <f t="shared" si="119"/>
        <v>71.71 : 72.73</v>
      </c>
      <c r="AH46" t="str">
        <f t="shared" si="120"/>
        <v>71.2 : 72.28</v>
      </c>
      <c r="AI46" t="str">
        <f t="shared" si="121"/>
        <v>70.96 : 72</v>
      </c>
      <c r="AJ46" t="str">
        <f t="shared" si="122"/>
        <v>70.62 : 71.77</v>
      </c>
      <c r="AK46" t="str">
        <f t="shared" si="123"/>
        <v>72.73 : 73.62</v>
      </c>
      <c r="AL46" t="str">
        <f t="shared" si="124"/>
        <v>72.07 : 73.02</v>
      </c>
      <c r="AM46" t="str">
        <f t="shared" si="125"/>
        <v>72.08 : 73.06</v>
      </c>
      <c r="AN46" t="str">
        <f t="shared" si="126"/>
        <v>73.27 : 74.1</v>
      </c>
      <c r="AO46" t="str">
        <f t="shared" si="127"/>
        <v>50 : 51</v>
      </c>
      <c r="AP46" t="str">
        <f t="shared" si="128"/>
        <v>50 : 51</v>
      </c>
      <c r="AQ46" t="str">
        <f t="shared" si="129"/>
        <v>50 : 51</v>
      </c>
      <c r="AR46" t="str">
        <f t="shared" si="130"/>
        <v>69.34 : 70.78</v>
      </c>
      <c r="AS46" t="str">
        <f t="shared" si="131"/>
        <v>66.51 : 68.18</v>
      </c>
      <c r="AT46" t="str">
        <f t="shared" si="132"/>
        <v>65.26 : 67.05</v>
      </c>
      <c r="AU46" t="str">
        <f t="shared" si="133"/>
        <v>66.12 : 68</v>
      </c>
      <c r="AV46" t="str">
        <f t="shared" si="134"/>
        <v>66.71 : 68.58</v>
      </c>
      <c r="AW46" t="str">
        <f t="shared" si="135"/>
        <v>66.98 : 68.84</v>
      </c>
      <c r="AX46" t="str">
        <f t="shared" si="136"/>
        <v>64.67 : 66.77</v>
      </c>
      <c r="AY46" t="str">
        <f t="shared" si="137"/>
        <v>68.72 : 70.44</v>
      </c>
      <c r="AZ46" t="str">
        <f t="shared" si="138"/>
        <v>71.26 : 72.54</v>
      </c>
      <c r="BA46" t="str">
        <f t="shared" si="139"/>
        <v>66.28 : 68.38</v>
      </c>
      <c r="BB46" t="str">
        <f t="shared" si="140"/>
        <v>67.28 : 69.18</v>
      </c>
      <c r="BC46" t="str">
        <f t="shared" si="141"/>
        <v>68.71 : 70.21</v>
      </c>
      <c r="BD46" t="str">
        <f t="shared" si="142"/>
        <v>68.49 : 69.96</v>
      </c>
      <c r="BE46" t="str">
        <f t="shared" si="143"/>
        <v>69.12 : 70.59</v>
      </c>
      <c r="BF46" t="str">
        <f t="shared" si="144"/>
        <v>66.79 : 68.92</v>
      </c>
      <c r="BG46" t="str">
        <f t="shared" si="145"/>
        <v>69.89 : 71.44</v>
      </c>
      <c r="BH46" t="str">
        <f t="shared" si="146"/>
        <v>68.78 : 70.39</v>
      </c>
      <c r="BI46" t="str">
        <f t="shared" si="147"/>
        <v>68.96 : 70.59</v>
      </c>
      <c r="BJ46" t="str">
        <f t="shared" si="148"/>
        <v>68.53 : 70.49</v>
      </c>
      <c r="BK46" t="str">
        <f t="shared" si="149"/>
        <v>68.77 : 70.34</v>
      </c>
      <c r="BL46" t="str">
        <f t="shared" si="150"/>
        <v>69.85 : 71.11</v>
      </c>
      <c r="BM46" t="str">
        <f t="shared" si="151"/>
        <v>70.84 : 72.08</v>
      </c>
      <c r="BN46" t="str">
        <f t="shared" si="152"/>
        <v>68.81 : 70.51</v>
      </c>
      <c r="BO46" t="str">
        <f t="shared" si="153"/>
        <v>68.32 : 70.06</v>
      </c>
      <c r="BP46" t="str">
        <f t="shared" si="154"/>
        <v>68.57 : 70.09</v>
      </c>
      <c r="BQ46" t="str">
        <f t="shared" si="155"/>
        <v>65.63 : 67.64</v>
      </c>
      <c r="BR46" t="str">
        <f t="shared" si="156"/>
        <v>65.85 : 67.67</v>
      </c>
      <c r="BS46" t="str">
        <f t="shared" si="157"/>
        <v>67 : 68.62</v>
      </c>
      <c r="BT46" t="str">
        <f t="shared" si="158"/>
        <v>65.77 : 67.63</v>
      </c>
      <c r="BU46" t="str">
        <f t="shared" si="159"/>
        <v>68.42 : 69.97</v>
      </c>
      <c r="BV46" t="str">
        <f t="shared" si="160"/>
        <v>66.7 : 68.5</v>
      </c>
      <c r="BW46" t="str">
        <f t="shared" si="161"/>
        <v>66.94 : 68.6</v>
      </c>
      <c r="BX46" t="str">
        <f t="shared" si="162"/>
        <v>70.71 : 72.1</v>
      </c>
      <c r="BY46" t="str">
        <f t="shared" si="163"/>
        <v>69.39 : 71.16</v>
      </c>
      <c r="BZ46" t="str">
        <f t="shared" si="164"/>
        <v>69.78 : 71.18</v>
      </c>
      <c r="CA46" t="str">
        <f t="shared" si="165"/>
        <v>66.62 : 68.36</v>
      </c>
      <c r="CB46" t="str">
        <f t="shared" si="166"/>
        <v>46.66 : 48</v>
      </c>
      <c r="CC46" t="str">
        <f t="shared" si="167"/>
        <v>46.66 : 48</v>
      </c>
      <c r="CD46" t="str">
        <f t="shared" si="168"/>
        <v>75 : 75.4</v>
      </c>
      <c r="CE46" t="str">
        <f t="shared" si="169"/>
        <v>60 : 60</v>
      </c>
      <c r="CF46" t="str">
        <f t="shared" si="170"/>
        <v>46 : 48</v>
      </c>
      <c r="CG46" t="str">
        <f t="shared" si="171"/>
        <v>50 : 51</v>
      </c>
      <c r="CH46" t="str">
        <f t="shared" si="172"/>
        <v>50 : 51</v>
      </c>
      <c r="CI46" t="str">
        <f t="shared" si="173"/>
        <v>60 : 60</v>
      </c>
    </row>
    <row r="47" spans="2:87" x14ac:dyDescent="0.2">
      <c r="B47" t="str">
        <f t="shared" si="89"/>
        <v>72.35 : 73.49</v>
      </c>
      <c r="C47" t="str">
        <f t="shared" si="90"/>
        <v>72.66 : 73.72</v>
      </c>
      <c r="D47" t="str">
        <f t="shared" si="91"/>
        <v>69.59 : 71.03</v>
      </c>
      <c r="E47" t="str">
        <f t="shared" si="92"/>
        <v>72.44 : 73.61</v>
      </c>
      <c r="F47" t="str">
        <f t="shared" si="93"/>
        <v>69.86 : 71.34</v>
      </c>
      <c r="G47" t="str">
        <f t="shared" si="94"/>
        <v>72.49 : 73.54</v>
      </c>
      <c r="H47" t="str">
        <f t="shared" si="95"/>
        <v>69.61 : 71.08</v>
      </c>
      <c r="I47" t="str">
        <f t="shared" si="96"/>
        <v>71.01 : 72.45</v>
      </c>
      <c r="J47" t="str">
        <f t="shared" si="97"/>
        <v>72.5 : 73.67</v>
      </c>
      <c r="K47" t="str">
        <f t="shared" si="98"/>
        <v>73.41 : 74.41</v>
      </c>
      <c r="L47" t="str">
        <f t="shared" si="99"/>
        <v>71.27 : 72.62</v>
      </c>
      <c r="M47" t="str">
        <f t="shared" si="100"/>
        <v>71.53 : 73.1</v>
      </c>
      <c r="N47" t="str">
        <f t="shared" si="101"/>
        <v>0 : 0</v>
      </c>
      <c r="O47" t="str">
        <f t="shared" si="102"/>
        <v>0 : 0</v>
      </c>
      <c r="P47" t="str">
        <f t="shared" si="103"/>
        <v>0 : 0</v>
      </c>
      <c r="Q47" t="str">
        <f t="shared" si="104"/>
        <v>0 : 0</v>
      </c>
      <c r="R47" t="str">
        <f t="shared" si="105"/>
        <v>0 : 0</v>
      </c>
      <c r="S47" t="str">
        <f t="shared" si="106"/>
        <v>0 : 0</v>
      </c>
      <c r="T47" t="str">
        <f t="shared" si="107"/>
        <v>0 : 0</v>
      </c>
      <c r="U47" t="str">
        <f t="shared" si="108"/>
        <v>0 : 0</v>
      </c>
      <c r="V47" t="str">
        <f t="shared" si="109"/>
        <v>0 : 0</v>
      </c>
      <c r="W47" t="str">
        <f t="shared" si="110"/>
        <v>0 : 0</v>
      </c>
      <c r="X47" t="str">
        <f t="shared" si="111"/>
        <v>0 : 0</v>
      </c>
      <c r="Y47" t="str">
        <f t="shared" si="112"/>
        <v>0 : 0</v>
      </c>
      <c r="Z47" t="str">
        <f t="shared" si="113"/>
        <v>51 : 52</v>
      </c>
      <c r="AA47" t="e">
        <v>#N/A</v>
      </c>
      <c r="AB47" t="str">
        <f t="shared" si="114"/>
        <v>51 : 52</v>
      </c>
      <c r="AC47" t="str">
        <f t="shared" si="115"/>
        <v>72.35 : 73.49</v>
      </c>
      <c r="AD47" t="str">
        <f t="shared" si="116"/>
        <v>73.33 : 74.11</v>
      </c>
      <c r="AE47" t="str">
        <f t="shared" si="117"/>
        <v>72.07 : 72.96</v>
      </c>
      <c r="AF47" t="str">
        <f t="shared" si="118"/>
        <v>72.12 : 73.21</v>
      </c>
      <c r="AG47" t="str">
        <f t="shared" si="119"/>
        <v>72.73 : 73.75</v>
      </c>
      <c r="AH47" t="str">
        <f t="shared" si="120"/>
        <v>72.28 : 73.36</v>
      </c>
      <c r="AI47" t="str">
        <f t="shared" si="121"/>
        <v>72 : 73.04</v>
      </c>
      <c r="AJ47" t="str">
        <f t="shared" si="122"/>
        <v>71.77 : 72.92</v>
      </c>
      <c r="AK47" t="str">
        <f t="shared" si="123"/>
        <v>73.62 : 74.51</v>
      </c>
      <c r="AL47" t="str">
        <f t="shared" si="124"/>
        <v>73.02 : 73.97</v>
      </c>
      <c r="AM47" t="str">
        <f t="shared" si="125"/>
        <v>73.06 : 74.04</v>
      </c>
      <c r="AN47" t="str">
        <f t="shared" si="126"/>
        <v>74.1 : 74.93</v>
      </c>
      <c r="AO47" t="str">
        <f t="shared" si="127"/>
        <v>51 : 52</v>
      </c>
      <c r="AP47" t="str">
        <f t="shared" si="128"/>
        <v>51 : 52</v>
      </c>
      <c r="AQ47" t="str">
        <f t="shared" si="129"/>
        <v>51 : 52</v>
      </c>
      <c r="AR47" t="str">
        <f t="shared" si="130"/>
        <v>70.78 : 72.22</v>
      </c>
      <c r="AS47" t="str">
        <f t="shared" si="131"/>
        <v>68.18 : 69.85</v>
      </c>
      <c r="AT47" t="str">
        <f t="shared" si="132"/>
        <v>67.05 : 68.84</v>
      </c>
      <c r="AU47" t="str">
        <f t="shared" si="133"/>
        <v>68 : 69.88</v>
      </c>
      <c r="AV47" t="str">
        <f t="shared" si="134"/>
        <v>68.58 : 70.45</v>
      </c>
      <c r="AW47" t="str">
        <f t="shared" si="135"/>
        <v>68.84 : 70.7</v>
      </c>
      <c r="AX47" t="str">
        <f t="shared" si="136"/>
        <v>66.77 : 68.87</v>
      </c>
      <c r="AY47" t="str">
        <f t="shared" si="137"/>
        <v>70.44 : 72.16</v>
      </c>
      <c r="AZ47" t="str">
        <f t="shared" si="138"/>
        <v>72.54 : 73.82</v>
      </c>
      <c r="BA47" t="str">
        <f t="shared" si="139"/>
        <v>68.38 : 70.48</v>
      </c>
      <c r="BB47" t="str">
        <f t="shared" si="140"/>
        <v>69.18 : 71.08</v>
      </c>
      <c r="BC47" t="str">
        <f t="shared" si="141"/>
        <v>70.21 : 71.71</v>
      </c>
      <c r="BD47" t="str">
        <f t="shared" si="142"/>
        <v>69.96 : 71.43</v>
      </c>
      <c r="BE47" t="str">
        <f t="shared" si="143"/>
        <v>70.59 : 72.06</v>
      </c>
      <c r="BF47" t="str">
        <f t="shared" si="144"/>
        <v>68.92 : 71.05</v>
      </c>
      <c r="BG47" t="str">
        <f t="shared" si="145"/>
        <v>71.44 : 72.99</v>
      </c>
      <c r="BH47" t="str">
        <f t="shared" si="146"/>
        <v>70.39 : 72</v>
      </c>
      <c r="BI47" t="str">
        <f t="shared" si="147"/>
        <v>70.59 : 72.22</v>
      </c>
      <c r="BJ47" t="str">
        <f t="shared" si="148"/>
        <v>70.49 : 72.45</v>
      </c>
      <c r="BK47" t="str">
        <f t="shared" si="149"/>
        <v>70.34 : 71.91</v>
      </c>
      <c r="BL47" t="str">
        <f t="shared" si="150"/>
        <v>71.11 : 72.37</v>
      </c>
      <c r="BM47" t="str">
        <f t="shared" si="151"/>
        <v>72.08 : 73.32</v>
      </c>
      <c r="BN47" t="str">
        <f t="shared" si="152"/>
        <v>70.51 : 72.21</v>
      </c>
      <c r="BO47" t="str">
        <f t="shared" si="153"/>
        <v>70.06 : 71.8</v>
      </c>
      <c r="BP47" t="str">
        <f t="shared" si="154"/>
        <v>70.09 : 71.61</v>
      </c>
      <c r="BQ47" t="str">
        <f t="shared" si="155"/>
        <v>67.64 : 69.65</v>
      </c>
      <c r="BR47" t="str">
        <f t="shared" si="156"/>
        <v>67.67 : 69.49</v>
      </c>
      <c r="BS47" t="str">
        <f t="shared" si="157"/>
        <v>68.62 : 70.24</v>
      </c>
      <c r="BT47" t="str">
        <f t="shared" si="158"/>
        <v>67.63 : 69.49</v>
      </c>
      <c r="BU47" t="str">
        <f t="shared" si="159"/>
        <v>69.97 : 71.52</v>
      </c>
      <c r="BV47" t="str">
        <f t="shared" si="160"/>
        <v>68.5 : 70.3</v>
      </c>
      <c r="BW47" t="str">
        <f t="shared" si="161"/>
        <v>68.6 : 70.26</v>
      </c>
      <c r="BX47" t="str">
        <f t="shared" si="162"/>
        <v>72.1 : 73.49</v>
      </c>
      <c r="BY47" t="str">
        <f t="shared" si="163"/>
        <v>71.16 : 72.93</v>
      </c>
      <c r="BZ47" t="str">
        <f t="shared" si="164"/>
        <v>71.18 : 72.58</v>
      </c>
      <c r="CA47" t="str">
        <f t="shared" si="165"/>
        <v>68.36 : 70.1</v>
      </c>
      <c r="CB47" t="str">
        <f t="shared" si="166"/>
        <v>48 : 49.34</v>
      </c>
      <c r="CC47" t="str">
        <f t="shared" si="167"/>
        <v>48 : 49.34</v>
      </c>
      <c r="CD47" t="str">
        <f t="shared" si="168"/>
        <v>75.4 : 75.8</v>
      </c>
      <c r="CE47" t="str">
        <f t="shared" si="169"/>
        <v>60 : 60</v>
      </c>
      <c r="CF47" t="str">
        <f t="shared" si="170"/>
        <v>48 : 50</v>
      </c>
      <c r="CG47" t="str">
        <f t="shared" si="171"/>
        <v>51 : 52</v>
      </c>
      <c r="CH47" t="str">
        <f t="shared" si="172"/>
        <v>51 : 52</v>
      </c>
      <c r="CI47" t="str">
        <f t="shared" si="173"/>
        <v>60 : 60</v>
      </c>
    </row>
    <row r="48" spans="2:87" x14ac:dyDescent="0.2">
      <c r="B48" t="str">
        <f t="shared" si="89"/>
        <v>73.49 : 74.63</v>
      </c>
      <c r="C48" t="str">
        <f t="shared" si="90"/>
        <v>73.72 : 74.78</v>
      </c>
      <c r="D48" t="str">
        <f t="shared" si="91"/>
        <v>71.03 : 72.47</v>
      </c>
      <c r="E48" t="str">
        <f t="shared" si="92"/>
        <v>73.61 : 74.78</v>
      </c>
      <c r="F48" t="str">
        <f t="shared" si="93"/>
        <v>71.34 : 72.82</v>
      </c>
      <c r="G48" t="str">
        <f t="shared" si="94"/>
        <v>73.54 : 74.59</v>
      </c>
      <c r="H48" t="str">
        <f t="shared" si="95"/>
        <v>71.08 : 72.55</v>
      </c>
      <c r="I48" t="str">
        <f t="shared" si="96"/>
        <v>72.45 : 73.89</v>
      </c>
      <c r="J48" t="str">
        <f t="shared" si="97"/>
        <v>73.67 : 74.84</v>
      </c>
      <c r="K48" t="str">
        <f t="shared" si="98"/>
        <v>74.41 : 75.41</v>
      </c>
      <c r="L48" t="str">
        <f t="shared" si="99"/>
        <v>72.62 : 73.97</v>
      </c>
      <c r="M48" t="str">
        <f t="shared" si="100"/>
        <v>73.1 : 74.67</v>
      </c>
      <c r="N48" t="str">
        <f t="shared" si="101"/>
        <v>0 : 0</v>
      </c>
      <c r="O48" t="str">
        <f t="shared" si="102"/>
        <v>0 : 0</v>
      </c>
      <c r="P48" t="str">
        <f t="shared" si="103"/>
        <v>0 : 0</v>
      </c>
      <c r="Q48" t="str">
        <f t="shared" si="104"/>
        <v>0 : 0</v>
      </c>
      <c r="R48" t="str">
        <f t="shared" si="105"/>
        <v>0 : 0</v>
      </c>
      <c r="S48" t="str">
        <f t="shared" si="106"/>
        <v>0 : 0</v>
      </c>
      <c r="T48" t="str">
        <f t="shared" si="107"/>
        <v>0 : 0</v>
      </c>
      <c r="U48" t="str">
        <f t="shared" si="108"/>
        <v>0 : 0</v>
      </c>
      <c r="V48" t="str">
        <f t="shared" si="109"/>
        <v>0 : 0</v>
      </c>
      <c r="W48" t="str">
        <f t="shared" si="110"/>
        <v>0 : 0</v>
      </c>
      <c r="X48" t="str">
        <f t="shared" si="111"/>
        <v>0 : 0</v>
      </c>
      <c r="Y48" t="str">
        <f t="shared" si="112"/>
        <v>0 : 0</v>
      </c>
      <c r="Z48" t="str">
        <f t="shared" si="113"/>
        <v>52 : 53</v>
      </c>
      <c r="AA48" t="e">
        <v>#N/A</v>
      </c>
      <c r="AB48" t="str">
        <f t="shared" si="114"/>
        <v>52 : 53</v>
      </c>
      <c r="AC48" t="str">
        <f t="shared" si="115"/>
        <v>73.49 : 74.63</v>
      </c>
      <c r="AD48" t="str">
        <f t="shared" si="116"/>
        <v>74.11 : 74.89</v>
      </c>
      <c r="AE48" t="str">
        <f t="shared" si="117"/>
        <v>72.96 : 73.85</v>
      </c>
      <c r="AF48" t="str">
        <f t="shared" si="118"/>
        <v>73.21 : 74.3</v>
      </c>
      <c r="AG48" t="str">
        <f t="shared" si="119"/>
        <v>73.75 : 74.77</v>
      </c>
      <c r="AH48" t="str">
        <f t="shared" si="120"/>
        <v>73.36 : 74.44</v>
      </c>
      <c r="AI48" t="str">
        <f t="shared" si="121"/>
        <v>73.04 : 74.08</v>
      </c>
      <c r="AJ48" t="str">
        <f t="shared" si="122"/>
        <v>72.92 : 74.07</v>
      </c>
      <c r="AK48" t="str">
        <f t="shared" si="123"/>
        <v>74.51 : 75.4</v>
      </c>
      <c r="AL48" t="str">
        <f t="shared" si="124"/>
        <v>73.97 : 74.92</v>
      </c>
      <c r="AM48" t="str">
        <f t="shared" si="125"/>
        <v>74.04 : 75.02</v>
      </c>
      <c r="AN48" t="str">
        <f t="shared" si="126"/>
        <v>74.93 : 75.76</v>
      </c>
      <c r="AO48" t="str">
        <f t="shared" si="127"/>
        <v>52 : 53</v>
      </c>
      <c r="AP48" t="str">
        <f t="shared" si="128"/>
        <v>52 : 53</v>
      </c>
      <c r="AQ48" t="str">
        <f t="shared" si="129"/>
        <v>52 : 53</v>
      </c>
      <c r="AR48" t="str">
        <f t="shared" si="130"/>
        <v>72.22 : 73.66</v>
      </c>
      <c r="AS48" t="str">
        <f t="shared" si="131"/>
        <v>69.85 : 71.52</v>
      </c>
      <c r="AT48" t="str">
        <f t="shared" si="132"/>
        <v>68.84 : 70.63</v>
      </c>
      <c r="AU48" t="str">
        <f t="shared" si="133"/>
        <v>69.88 : 71.76</v>
      </c>
      <c r="AV48" t="str">
        <f t="shared" si="134"/>
        <v>70.45 : 72.32</v>
      </c>
      <c r="AW48" t="str">
        <f t="shared" si="135"/>
        <v>70.7 : 72.56</v>
      </c>
      <c r="AX48" t="str">
        <f t="shared" si="136"/>
        <v>68.87 : 70.97</v>
      </c>
      <c r="AY48" t="str">
        <f t="shared" si="137"/>
        <v>72.16 : 73.88</v>
      </c>
      <c r="AZ48" t="str">
        <f t="shared" si="138"/>
        <v>73.82 : 75.1</v>
      </c>
      <c r="BA48" t="str">
        <f t="shared" si="139"/>
        <v>70.48 : 72.58</v>
      </c>
      <c r="BB48" t="str">
        <f t="shared" si="140"/>
        <v>71.08 : 72.98</v>
      </c>
      <c r="BC48" t="str">
        <f t="shared" si="141"/>
        <v>71.71 : 73.21</v>
      </c>
      <c r="BD48" t="str">
        <f t="shared" si="142"/>
        <v>71.43 : 72.9</v>
      </c>
      <c r="BE48" t="str">
        <f t="shared" si="143"/>
        <v>72.06 : 73.53</v>
      </c>
      <c r="BF48" t="str">
        <f t="shared" si="144"/>
        <v>71.05 : 73.18</v>
      </c>
      <c r="BG48" t="str">
        <f t="shared" si="145"/>
        <v>72.99 : 74.54</v>
      </c>
      <c r="BH48" t="str">
        <f t="shared" si="146"/>
        <v>72 : 73.61</v>
      </c>
      <c r="BI48" t="str">
        <f t="shared" si="147"/>
        <v>72.22 : 73.85</v>
      </c>
      <c r="BJ48" t="str">
        <f t="shared" si="148"/>
        <v>72.45 : 74.41</v>
      </c>
      <c r="BK48" t="str">
        <f t="shared" si="149"/>
        <v>71.91 : 73.48</v>
      </c>
      <c r="BL48" t="str">
        <f t="shared" si="150"/>
        <v>72.37 : 73.63</v>
      </c>
      <c r="BM48" t="str">
        <f t="shared" si="151"/>
        <v>73.32 : 74.56</v>
      </c>
      <c r="BN48" t="str">
        <f t="shared" si="152"/>
        <v>72.21 : 73.91</v>
      </c>
      <c r="BO48" t="str">
        <f t="shared" si="153"/>
        <v>71.8 : 73.54</v>
      </c>
      <c r="BP48" t="str">
        <f t="shared" si="154"/>
        <v>71.61 : 73.13</v>
      </c>
      <c r="BQ48" t="str">
        <f t="shared" si="155"/>
        <v>69.65 : 71.66</v>
      </c>
      <c r="BR48" t="str">
        <f t="shared" si="156"/>
        <v>69.49 : 71.31</v>
      </c>
      <c r="BS48" t="str">
        <f t="shared" si="157"/>
        <v>70.24 : 71.86</v>
      </c>
      <c r="BT48" t="str">
        <f t="shared" si="158"/>
        <v>69.49 : 71.35</v>
      </c>
      <c r="BU48" t="str">
        <f t="shared" si="159"/>
        <v>71.52 : 73.07</v>
      </c>
      <c r="BV48" t="str">
        <f t="shared" si="160"/>
        <v>70.3 : 72.1</v>
      </c>
      <c r="BW48" t="str">
        <f t="shared" si="161"/>
        <v>70.26 : 71.92</v>
      </c>
      <c r="BX48" t="str">
        <f t="shared" si="162"/>
        <v>73.49 : 74.88</v>
      </c>
      <c r="BY48" t="str">
        <f t="shared" si="163"/>
        <v>72.93 : 74.7</v>
      </c>
      <c r="BZ48" t="str">
        <f t="shared" si="164"/>
        <v>72.58 : 73.98</v>
      </c>
      <c r="CA48" t="str">
        <f t="shared" si="165"/>
        <v>70.1 : 71.84</v>
      </c>
      <c r="CB48" t="str">
        <f t="shared" si="166"/>
        <v>49.34 : 50.68</v>
      </c>
      <c r="CC48" t="str">
        <f t="shared" si="167"/>
        <v>49.34 : 50.68</v>
      </c>
      <c r="CD48" t="str">
        <f t="shared" si="168"/>
        <v>75.8 : 76.2</v>
      </c>
      <c r="CE48" t="str">
        <f t="shared" si="169"/>
        <v>60 : 60</v>
      </c>
      <c r="CF48" t="str">
        <f t="shared" si="170"/>
        <v>50 : 52</v>
      </c>
      <c r="CG48" t="str">
        <f t="shared" si="171"/>
        <v>52 : 53</v>
      </c>
      <c r="CH48" t="str">
        <f t="shared" si="172"/>
        <v>52 : 53</v>
      </c>
      <c r="CI48" t="str">
        <f t="shared" si="173"/>
        <v>60 : 60</v>
      </c>
    </row>
    <row r="49" spans="2:87" x14ac:dyDescent="0.2">
      <c r="B49" t="str">
        <f t="shared" si="89"/>
        <v>74.63 : 75.77</v>
      </c>
      <c r="C49" t="str">
        <f t="shared" si="90"/>
        <v>74.78 : 75.84</v>
      </c>
      <c r="D49" t="str">
        <f t="shared" si="91"/>
        <v>72.47 : 73.91</v>
      </c>
      <c r="E49" t="str">
        <f t="shared" si="92"/>
        <v>74.78 : 75.95</v>
      </c>
      <c r="F49" t="str">
        <f t="shared" si="93"/>
        <v>72.82 : 74.3</v>
      </c>
      <c r="G49" t="str">
        <f t="shared" si="94"/>
        <v>74.59 : 75.64</v>
      </c>
      <c r="H49" t="str">
        <f t="shared" si="95"/>
        <v>72.55 : 74.02</v>
      </c>
      <c r="I49" t="str">
        <f t="shared" si="96"/>
        <v>73.89 : 75.33</v>
      </c>
      <c r="J49" t="str">
        <f t="shared" si="97"/>
        <v>74.84 : 76.01</v>
      </c>
      <c r="K49" t="str">
        <f t="shared" si="98"/>
        <v>75.41 : 76.41</v>
      </c>
      <c r="L49" t="str">
        <f t="shared" si="99"/>
        <v>73.97 : 75.32</v>
      </c>
      <c r="M49" t="str">
        <f t="shared" si="100"/>
        <v>74.67 : 76.24</v>
      </c>
      <c r="N49" t="str">
        <f t="shared" si="101"/>
        <v>0 : 0</v>
      </c>
      <c r="O49" t="str">
        <f t="shared" si="102"/>
        <v>0 : 0</v>
      </c>
      <c r="P49" t="str">
        <f t="shared" si="103"/>
        <v>0 : 0</v>
      </c>
      <c r="Q49" t="str">
        <f t="shared" si="104"/>
        <v>0 : 0</v>
      </c>
      <c r="R49" t="str">
        <f t="shared" si="105"/>
        <v>0 : 0</v>
      </c>
      <c r="S49" t="str">
        <f t="shared" si="106"/>
        <v>0 : 0</v>
      </c>
      <c r="T49" t="str">
        <f t="shared" si="107"/>
        <v>0 : 0</v>
      </c>
      <c r="U49" t="str">
        <f t="shared" si="108"/>
        <v>0 : 0</v>
      </c>
      <c r="V49" t="str">
        <f t="shared" si="109"/>
        <v>0 : 0</v>
      </c>
      <c r="W49" t="str">
        <f t="shared" si="110"/>
        <v>0 : 0</v>
      </c>
      <c r="X49" t="str">
        <f t="shared" si="111"/>
        <v>0 : 0</v>
      </c>
      <c r="Y49" t="str">
        <f t="shared" si="112"/>
        <v>0 : 0</v>
      </c>
      <c r="Z49" t="str">
        <f t="shared" si="113"/>
        <v>53 : 54</v>
      </c>
      <c r="AA49" t="e">
        <v>#N/A</v>
      </c>
      <c r="AB49" t="str">
        <f t="shared" si="114"/>
        <v>53 : 54</v>
      </c>
      <c r="AC49" t="str">
        <f t="shared" si="115"/>
        <v>74.63 : 75.77</v>
      </c>
      <c r="AD49" t="str">
        <f t="shared" si="116"/>
        <v>74.89 : 75.67</v>
      </c>
      <c r="AE49" t="str">
        <f t="shared" si="117"/>
        <v>73.85 : 74.74</v>
      </c>
      <c r="AF49" t="str">
        <f t="shared" si="118"/>
        <v>74.3 : 75.39</v>
      </c>
      <c r="AG49" t="str">
        <f t="shared" si="119"/>
        <v>74.77 : 75.79</v>
      </c>
      <c r="AH49" t="str">
        <f t="shared" si="120"/>
        <v>74.44 : 75.52</v>
      </c>
      <c r="AI49" t="str">
        <f t="shared" si="121"/>
        <v>74.08 : 75.12</v>
      </c>
      <c r="AJ49" t="str">
        <f t="shared" si="122"/>
        <v>74.07 : 75.22</v>
      </c>
      <c r="AK49" t="str">
        <f t="shared" si="123"/>
        <v>75.4 : 76.29</v>
      </c>
      <c r="AL49" t="str">
        <f t="shared" si="124"/>
        <v>74.92 : 75.87</v>
      </c>
      <c r="AM49" t="str">
        <f t="shared" si="125"/>
        <v>75.02 : 76</v>
      </c>
      <c r="AN49" t="str">
        <f t="shared" si="126"/>
        <v>75.76 : 76.59</v>
      </c>
      <c r="AO49" t="str">
        <f t="shared" si="127"/>
        <v>53 : 54</v>
      </c>
      <c r="AP49" t="str">
        <f t="shared" si="128"/>
        <v>53 : 54</v>
      </c>
      <c r="AQ49" t="str">
        <f t="shared" si="129"/>
        <v>53 : 54</v>
      </c>
      <c r="AR49" t="str">
        <f t="shared" si="130"/>
        <v>73.66 : 75.1</v>
      </c>
      <c r="AS49" t="str">
        <f t="shared" si="131"/>
        <v>71.52 : 73.19</v>
      </c>
      <c r="AT49" t="str">
        <f t="shared" si="132"/>
        <v>70.63 : 72.42</v>
      </c>
      <c r="AU49" t="str">
        <f t="shared" si="133"/>
        <v>71.76 : 73.64</v>
      </c>
      <c r="AV49" t="str">
        <f t="shared" si="134"/>
        <v>72.32 : 74.19</v>
      </c>
      <c r="AW49" t="str">
        <f t="shared" si="135"/>
        <v>72.56 : 74.42</v>
      </c>
      <c r="AX49" t="str">
        <f t="shared" si="136"/>
        <v>70.97 : 73.07</v>
      </c>
      <c r="AY49" t="str">
        <f t="shared" si="137"/>
        <v>73.88 : 75.6</v>
      </c>
      <c r="AZ49" t="str">
        <f t="shared" si="138"/>
        <v>75.1 : 76.38</v>
      </c>
      <c r="BA49" t="str">
        <f t="shared" si="139"/>
        <v>72.58 : 74.68</v>
      </c>
      <c r="BB49" t="str">
        <f t="shared" si="140"/>
        <v>72.98 : 74.88</v>
      </c>
      <c r="BC49" t="str">
        <f t="shared" si="141"/>
        <v>73.21 : 74.71</v>
      </c>
      <c r="BD49" t="str">
        <f t="shared" si="142"/>
        <v>72.9 : 74.37</v>
      </c>
      <c r="BE49" t="str">
        <f t="shared" si="143"/>
        <v>73.53 : 75</v>
      </c>
      <c r="BF49" t="str">
        <f t="shared" si="144"/>
        <v>73.18 : 75.31</v>
      </c>
      <c r="BG49" t="str">
        <f t="shared" si="145"/>
        <v>74.54 : 76.09</v>
      </c>
      <c r="BH49" t="str">
        <f t="shared" si="146"/>
        <v>73.61 : 75.22</v>
      </c>
      <c r="BI49" t="str">
        <f t="shared" si="147"/>
        <v>73.85 : 75.48</v>
      </c>
      <c r="BJ49" t="str">
        <f t="shared" si="148"/>
        <v>74.41 : 76.37</v>
      </c>
      <c r="BK49" t="str">
        <f t="shared" si="149"/>
        <v>73.48 : 75.05</v>
      </c>
      <c r="BL49" t="str">
        <f t="shared" si="150"/>
        <v>73.63 : 74.89</v>
      </c>
      <c r="BM49" t="str">
        <f t="shared" si="151"/>
        <v>74.56 : 75.8</v>
      </c>
      <c r="BN49" t="str">
        <f t="shared" si="152"/>
        <v>73.91 : 75.61</v>
      </c>
      <c r="BO49" t="str">
        <f t="shared" si="153"/>
        <v>73.54 : 75.28</v>
      </c>
      <c r="BP49" t="str">
        <f t="shared" si="154"/>
        <v>73.13 : 74.65</v>
      </c>
      <c r="BQ49" t="str">
        <f t="shared" si="155"/>
        <v>71.66 : 73.67</v>
      </c>
      <c r="BR49" t="str">
        <f t="shared" si="156"/>
        <v>71.31 : 73.13</v>
      </c>
      <c r="BS49" t="str">
        <f t="shared" si="157"/>
        <v>71.86 : 73.48</v>
      </c>
      <c r="BT49" t="str">
        <f t="shared" si="158"/>
        <v>71.35 : 73.21</v>
      </c>
      <c r="BU49" t="str">
        <f t="shared" si="159"/>
        <v>73.07 : 74.62</v>
      </c>
      <c r="BV49" t="str">
        <f t="shared" si="160"/>
        <v>72.1 : 73.9</v>
      </c>
      <c r="BW49" t="str">
        <f t="shared" si="161"/>
        <v>71.92 : 73.58</v>
      </c>
      <c r="BX49" t="str">
        <f t="shared" si="162"/>
        <v>74.88 : 76.27</v>
      </c>
      <c r="BY49" t="str">
        <f t="shared" si="163"/>
        <v>74.7 : 76.47</v>
      </c>
      <c r="BZ49" t="str">
        <f t="shared" si="164"/>
        <v>73.98 : 75.38</v>
      </c>
      <c r="CA49" t="str">
        <f t="shared" si="165"/>
        <v>71.84 : 73.58</v>
      </c>
      <c r="CB49" t="str">
        <f t="shared" si="166"/>
        <v>50.68 : 52.02</v>
      </c>
      <c r="CC49" t="str">
        <f t="shared" si="167"/>
        <v>50.68 : 52.02</v>
      </c>
      <c r="CD49" t="str">
        <f t="shared" si="168"/>
        <v>76.2 : 76.6</v>
      </c>
      <c r="CE49" t="str">
        <f t="shared" si="169"/>
        <v>60 : 60</v>
      </c>
      <c r="CF49" t="str">
        <f t="shared" si="170"/>
        <v>52 : 54</v>
      </c>
      <c r="CG49" t="str">
        <f t="shared" si="171"/>
        <v>53 : 54</v>
      </c>
      <c r="CH49" t="str">
        <f t="shared" si="172"/>
        <v>53 : 54</v>
      </c>
      <c r="CI49" t="str">
        <f t="shared" si="173"/>
        <v>60 : 60</v>
      </c>
    </row>
    <row r="50" spans="2:87" x14ac:dyDescent="0.2">
      <c r="B50" t="str">
        <f t="shared" si="89"/>
        <v>75.77 : 76.91</v>
      </c>
      <c r="C50" t="str">
        <f t="shared" si="90"/>
        <v>75.84 : 76.9</v>
      </c>
      <c r="D50" t="str">
        <f t="shared" si="91"/>
        <v>73.91 : 75.35</v>
      </c>
      <c r="E50" t="str">
        <f t="shared" si="92"/>
        <v>75.95 : 77.12</v>
      </c>
      <c r="F50" t="str">
        <f t="shared" si="93"/>
        <v>74.3 : 75.78</v>
      </c>
      <c r="G50" t="str">
        <f t="shared" si="94"/>
        <v>75.64 : 76.69</v>
      </c>
      <c r="H50" t="str">
        <f t="shared" si="95"/>
        <v>74.02 : 75.49</v>
      </c>
      <c r="I50" t="str">
        <f t="shared" si="96"/>
        <v>75.33 : 76.77</v>
      </c>
      <c r="J50" t="str">
        <f t="shared" si="97"/>
        <v>76.01 : 77.18</v>
      </c>
      <c r="K50" t="str">
        <f t="shared" si="98"/>
        <v>76.41 : 77.41</v>
      </c>
      <c r="L50" t="str">
        <f t="shared" si="99"/>
        <v>75.32 : 76.67</v>
      </c>
      <c r="M50" t="str">
        <f t="shared" si="100"/>
        <v>76.24 : 77.81</v>
      </c>
      <c r="N50" t="str">
        <f t="shared" si="101"/>
        <v>0 : 0</v>
      </c>
      <c r="O50" t="str">
        <f t="shared" si="102"/>
        <v>0 : 0</v>
      </c>
      <c r="P50" t="str">
        <f t="shared" si="103"/>
        <v>0 : 0</v>
      </c>
      <c r="Q50" t="str">
        <f t="shared" si="104"/>
        <v>0 : 0</v>
      </c>
      <c r="R50" t="str">
        <f t="shared" si="105"/>
        <v>0 : 0</v>
      </c>
      <c r="S50" t="str">
        <f t="shared" si="106"/>
        <v>0 : 0</v>
      </c>
      <c r="T50" t="str">
        <f t="shared" si="107"/>
        <v>0 : 0</v>
      </c>
      <c r="U50" t="str">
        <f t="shared" si="108"/>
        <v>0 : 0</v>
      </c>
      <c r="V50" t="str">
        <f t="shared" si="109"/>
        <v>0 : 0</v>
      </c>
      <c r="W50" t="str">
        <f t="shared" si="110"/>
        <v>0 : 0</v>
      </c>
      <c r="X50" t="str">
        <f t="shared" si="111"/>
        <v>0 : 0</v>
      </c>
      <c r="Y50" t="str">
        <f t="shared" si="112"/>
        <v>0 : 0</v>
      </c>
      <c r="Z50" t="str">
        <f t="shared" si="113"/>
        <v>54 : 55</v>
      </c>
      <c r="AA50" t="e">
        <v>#N/A</v>
      </c>
      <c r="AB50" t="str">
        <f t="shared" si="114"/>
        <v>54 : 55</v>
      </c>
      <c r="AC50" t="str">
        <f t="shared" si="115"/>
        <v>75.77 : 76.91</v>
      </c>
      <c r="AD50" t="str">
        <f t="shared" si="116"/>
        <v>75.67 : 76.45</v>
      </c>
      <c r="AE50" t="str">
        <f t="shared" si="117"/>
        <v>74.74 : 75.63</v>
      </c>
      <c r="AF50" t="str">
        <f t="shared" si="118"/>
        <v>75.39 : 76.48</v>
      </c>
      <c r="AG50" t="str">
        <f t="shared" si="119"/>
        <v>75.79 : 76.81</v>
      </c>
      <c r="AH50" t="str">
        <f t="shared" si="120"/>
        <v>75.52 : 76.6</v>
      </c>
      <c r="AI50" t="str">
        <f t="shared" si="121"/>
        <v>75.12 : 76.16</v>
      </c>
      <c r="AJ50" t="str">
        <f t="shared" si="122"/>
        <v>75.22 : 76.37</v>
      </c>
      <c r="AK50" t="str">
        <f t="shared" si="123"/>
        <v>76.29 : 77.18</v>
      </c>
      <c r="AL50" t="str">
        <f t="shared" si="124"/>
        <v>75.87 : 76.82</v>
      </c>
      <c r="AM50" t="str">
        <f t="shared" si="125"/>
        <v>76 : 76.98</v>
      </c>
      <c r="AN50" t="str">
        <f t="shared" si="126"/>
        <v>76.59 : 77.42</v>
      </c>
      <c r="AO50" t="str">
        <f t="shared" si="127"/>
        <v>54 : 55</v>
      </c>
      <c r="AP50" t="str">
        <f t="shared" si="128"/>
        <v>54 : 55</v>
      </c>
      <c r="AQ50" t="str">
        <f t="shared" si="129"/>
        <v>54 : 55</v>
      </c>
      <c r="AR50" t="str">
        <f t="shared" si="130"/>
        <v>75.1 : 76.54</v>
      </c>
      <c r="AS50" t="str">
        <f t="shared" si="131"/>
        <v>73.19 : 74.86</v>
      </c>
      <c r="AT50" t="str">
        <f t="shared" si="132"/>
        <v>72.42 : 74.21</v>
      </c>
      <c r="AU50" t="str">
        <f t="shared" si="133"/>
        <v>73.64 : 75.52</v>
      </c>
      <c r="AV50" t="str">
        <f t="shared" si="134"/>
        <v>74.19 : 76.06</v>
      </c>
      <c r="AW50" t="str">
        <f t="shared" si="135"/>
        <v>74.42 : 76.28</v>
      </c>
      <c r="AX50" t="str">
        <f t="shared" si="136"/>
        <v>73.07 : 75.17</v>
      </c>
      <c r="AY50" t="str">
        <f t="shared" si="137"/>
        <v>75.6 : 77.32</v>
      </c>
      <c r="AZ50" t="str">
        <f t="shared" si="138"/>
        <v>76.38 : 77.66</v>
      </c>
      <c r="BA50" t="str">
        <f t="shared" si="139"/>
        <v>74.68 : 76.78</v>
      </c>
      <c r="BB50" t="str">
        <f t="shared" si="140"/>
        <v>74.88 : 76.78</v>
      </c>
      <c r="BC50" t="str">
        <f t="shared" si="141"/>
        <v>74.71 : 76.21</v>
      </c>
      <c r="BD50" t="str">
        <f t="shared" si="142"/>
        <v>74.37 : 75.84</v>
      </c>
      <c r="BE50" t="str">
        <f t="shared" si="143"/>
        <v>75 : 76.47</v>
      </c>
      <c r="BF50" t="str">
        <f t="shared" si="144"/>
        <v>75.31 : 77.44</v>
      </c>
      <c r="BG50" t="str">
        <f t="shared" si="145"/>
        <v>76.09 : 77.64</v>
      </c>
      <c r="BH50" t="str">
        <f t="shared" si="146"/>
        <v>75.22 : 76.83</v>
      </c>
      <c r="BI50" t="str">
        <f t="shared" si="147"/>
        <v>75.48 : 77.11</v>
      </c>
      <c r="BJ50" t="str">
        <f t="shared" si="148"/>
        <v>76.37 : 78.33</v>
      </c>
      <c r="BK50" t="str">
        <f t="shared" si="149"/>
        <v>75.05 : 76.62</v>
      </c>
      <c r="BL50" t="str">
        <f t="shared" si="150"/>
        <v>74.89 : 76.15</v>
      </c>
      <c r="BM50" t="str">
        <f t="shared" si="151"/>
        <v>75.8 : 77.04</v>
      </c>
      <c r="BN50" t="str">
        <f t="shared" si="152"/>
        <v>75.61 : 77.31</v>
      </c>
      <c r="BO50" t="str">
        <f t="shared" si="153"/>
        <v>75.28 : 77.02</v>
      </c>
      <c r="BP50" t="str">
        <f t="shared" si="154"/>
        <v>74.65 : 76.17</v>
      </c>
      <c r="BQ50" t="str">
        <f t="shared" si="155"/>
        <v>73.67 : 75.68</v>
      </c>
      <c r="BR50" t="str">
        <f t="shared" si="156"/>
        <v>73.13 : 74.95</v>
      </c>
      <c r="BS50" t="str">
        <f t="shared" si="157"/>
        <v>73.48 : 75.1</v>
      </c>
      <c r="BT50" t="str">
        <f t="shared" si="158"/>
        <v>73.21 : 75.07</v>
      </c>
      <c r="BU50" t="str">
        <f t="shared" si="159"/>
        <v>74.62 : 76.17</v>
      </c>
      <c r="BV50" t="str">
        <f t="shared" si="160"/>
        <v>73.9 : 75.7</v>
      </c>
      <c r="BW50" t="str">
        <f t="shared" si="161"/>
        <v>73.58 : 75.24</v>
      </c>
      <c r="BX50" t="str">
        <f t="shared" si="162"/>
        <v>76.27 : 77.66</v>
      </c>
      <c r="BY50" t="str">
        <f t="shared" si="163"/>
        <v>76.47 : 78.24</v>
      </c>
      <c r="BZ50" t="str">
        <f t="shared" si="164"/>
        <v>75.38 : 76.78</v>
      </c>
      <c r="CA50" t="str">
        <f t="shared" si="165"/>
        <v>73.58 : 75.32</v>
      </c>
      <c r="CB50" t="str">
        <f t="shared" si="166"/>
        <v>52.02 : 53.36</v>
      </c>
      <c r="CC50" t="str">
        <f t="shared" si="167"/>
        <v>52.02 : 53.36</v>
      </c>
      <c r="CD50" t="str">
        <f t="shared" si="168"/>
        <v>76.6 : 77</v>
      </c>
      <c r="CE50" t="str">
        <f t="shared" si="169"/>
        <v>60 : 60</v>
      </c>
      <c r="CF50" t="str">
        <f t="shared" si="170"/>
        <v>54 : 56</v>
      </c>
      <c r="CG50" t="str">
        <f t="shared" si="171"/>
        <v>54 : 55</v>
      </c>
      <c r="CH50" t="str">
        <f t="shared" si="172"/>
        <v>54 : 55</v>
      </c>
      <c r="CI50" t="str">
        <f t="shared" si="173"/>
        <v>60 : 60</v>
      </c>
    </row>
    <row r="51" spans="2:87" x14ac:dyDescent="0.2">
      <c r="B51" t="str">
        <f t="shared" si="89"/>
        <v>76.91 : 78.05</v>
      </c>
      <c r="C51" t="str">
        <f t="shared" si="90"/>
        <v>76.9 : 77.96</v>
      </c>
      <c r="D51" t="str">
        <f t="shared" si="91"/>
        <v>75.35 : 76.79</v>
      </c>
      <c r="E51" t="str">
        <f t="shared" si="92"/>
        <v>77.12 : 78.29</v>
      </c>
      <c r="F51" t="str">
        <f t="shared" si="93"/>
        <v>75.78 : 77.26</v>
      </c>
      <c r="G51" t="str">
        <f t="shared" si="94"/>
        <v>76.69 : 77.74</v>
      </c>
      <c r="H51" t="str">
        <f t="shared" si="95"/>
        <v>75.49 : 76.96</v>
      </c>
      <c r="I51" t="str">
        <f t="shared" si="96"/>
        <v>76.77 : 78.21</v>
      </c>
      <c r="J51" t="str">
        <f t="shared" si="97"/>
        <v>77.18 : 78.35</v>
      </c>
      <c r="K51" t="str">
        <f t="shared" si="98"/>
        <v>77.41 : 78.41</v>
      </c>
      <c r="L51" t="str">
        <f t="shared" si="99"/>
        <v>76.67 : 78.02</v>
      </c>
      <c r="M51" t="str">
        <f t="shared" si="100"/>
        <v>77.81 : 79.38</v>
      </c>
      <c r="N51" t="str">
        <f t="shared" si="101"/>
        <v>0 : 0</v>
      </c>
      <c r="O51" t="str">
        <f t="shared" si="102"/>
        <v>0 : 0</v>
      </c>
      <c r="P51" t="str">
        <f t="shared" si="103"/>
        <v>0 : 0</v>
      </c>
      <c r="Q51" t="str">
        <f t="shared" si="104"/>
        <v>0 : 0</v>
      </c>
      <c r="R51" t="str">
        <f t="shared" si="105"/>
        <v>0 : 0</v>
      </c>
      <c r="S51" t="str">
        <f t="shared" si="106"/>
        <v>0 : 0</v>
      </c>
      <c r="T51" t="str">
        <f t="shared" si="107"/>
        <v>0 : 0</v>
      </c>
      <c r="U51" t="str">
        <f t="shared" si="108"/>
        <v>0 : 0</v>
      </c>
      <c r="V51" t="str">
        <f t="shared" si="109"/>
        <v>0 : 0</v>
      </c>
      <c r="W51" t="str">
        <f t="shared" si="110"/>
        <v>0 : 0</v>
      </c>
      <c r="X51" t="str">
        <f t="shared" si="111"/>
        <v>0 : 0</v>
      </c>
      <c r="Y51" t="str">
        <f t="shared" si="112"/>
        <v>0 : 0</v>
      </c>
      <c r="Z51" t="str">
        <f t="shared" si="113"/>
        <v>55 : 56</v>
      </c>
      <c r="AB51" t="str">
        <f t="shared" si="114"/>
        <v>55 : 56</v>
      </c>
      <c r="AC51" t="str">
        <f t="shared" si="115"/>
        <v>76.91 : 78.05</v>
      </c>
      <c r="AD51" t="str">
        <f t="shared" si="116"/>
        <v>76.45 : 77.23</v>
      </c>
      <c r="AE51" t="str">
        <f t="shared" si="117"/>
        <v>75.63 : 76.52</v>
      </c>
      <c r="AF51" t="str">
        <f t="shared" si="118"/>
        <v>76.48 : 77.57</v>
      </c>
      <c r="AG51" t="str">
        <f t="shared" si="119"/>
        <v>76.81 : 77.83</v>
      </c>
      <c r="AH51" t="str">
        <f t="shared" si="120"/>
        <v>76.6 : 77.68</v>
      </c>
      <c r="AI51" t="str">
        <f t="shared" si="121"/>
        <v>76.16 : 77.2</v>
      </c>
      <c r="AJ51" t="str">
        <f t="shared" si="122"/>
        <v>76.37 : 77.52</v>
      </c>
      <c r="AK51" t="str">
        <f t="shared" si="123"/>
        <v>77.18 : 78.07</v>
      </c>
      <c r="AL51" t="str">
        <f t="shared" si="124"/>
        <v>76.82 : 77.77</v>
      </c>
      <c r="AM51" t="str">
        <f t="shared" si="125"/>
        <v>76.98 : 77.96</v>
      </c>
      <c r="AN51" t="str">
        <f t="shared" si="126"/>
        <v>77.42 : 78.25</v>
      </c>
      <c r="AO51" t="str">
        <f t="shared" si="127"/>
        <v>55 : 56</v>
      </c>
      <c r="AP51" t="str">
        <f t="shared" si="128"/>
        <v>55 : 56</v>
      </c>
      <c r="AQ51" t="str">
        <f t="shared" si="129"/>
        <v>55 : 56</v>
      </c>
      <c r="AR51" t="str">
        <f t="shared" si="130"/>
        <v>76.54 : 77.98</v>
      </c>
      <c r="AS51" t="str">
        <f t="shared" si="131"/>
        <v>74.86 : 76.53</v>
      </c>
      <c r="AT51" t="str">
        <f t="shared" si="132"/>
        <v>74.21 : 76</v>
      </c>
      <c r="AU51" t="str">
        <f t="shared" si="133"/>
        <v>75.52 : 77.4</v>
      </c>
      <c r="AV51" t="str">
        <f t="shared" si="134"/>
        <v>76.06 : 77.93</v>
      </c>
      <c r="AW51" t="str">
        <f t="shared" si="135"/>
        <v>76.28 : 78.14</v>
      </c>
      <c r="AX51" t="str">
        <f t="shared" si="136"/>
        <v>75.17 : 77.27</v>
      </c>
      <c r="AY51" t="str">
        <f t="shared" si="137"/>
        <v>77.32 : 79.04</v>
      </c>
      <c r="AZ51" t="str">
        <f t="shared" si="138"/>
        <v>77.66 : 78.94</v>
      </c>
      <c r="BA51" t="str">
        <f t="shared" si="139"/>
        <v>76.78 : 78.88</v>
      </c>
      <c r="BB51" t="str">
        <f t="shared" si="140"/>
        <v>76.78 : 78.68</v>
      </c>
      <c r="BC51" t="str">
        <f t="shared" si="141"/>
        <v>76.21 : 77.71</v>
      </c>
      <c r="BD51" t="str">
        <f t="shared" si="142"/>
        <v>75.84 : 77.31</v>
      </c>
      <c r="BE51" t="str">
        <f t="shared" si="143"/>
        <v>76.47 : 77.94</v>
      </c>
      <c r="BF51" t="str">
        <f t="shared" si="144"/>
        <v>77.44 : 79.57</v>
      </c>
      <c r="BG51" t="str">
        <f t="shared" si="145"/>
        <v>77.64 : 79.19</v>
      </c>
      <c r="BH51" t="str">
        <f t="shared" si="146"/>
        <v>76.83 : 78.44</v>
      </c>
      <c r="BI51" t="str">
        <f t="shared" si="147"/>
        <v>77.11 : 78.74</v>
      </c>
      <c r="BJ51" t="str">
        <f t="shared" si="148"/>
        <v>78.33 : 80.29</v>
      </c>
      <c r="BK51" t="str">
        <f t="shared" si="149"/>
        <v>76.62 : 78.19</v>
      </c>
      <c r="BL51" t="str">
        <f t="shared" si="150"/>
        <v>76.15 : 77.41</v>
      </c>
      <c r="BM51" t="str">
        <f t="shared" si="151"/>
        <v>77.04 : 78.28</v>
      </c>
      <c r="BN51" t="str">
        <f t="shared" si="152"/>
        <v>77.31 : 79.01</v>
      </c>
      <c r="BO51" t="str">
        <f t="shared" si="153"/>
        <v>77.02 : 78.76</v>
      </c>
      <c r="BP51" t="str">
        <f t="shared" si="154"/>
        <v>76.17 : 77.69</v>
      </c>
      <c r="BQ51" t="str">
        <f t="shared" si="155"/>
        <v>75.68 : 77.69</v>
      </c>
      <c r="BR51" t="str">
        <f t="shared" si="156"/>
        <v>74.95 : 76.77</v>
      </c>
      <c r="BS51" t="str">
        <f t="shared" si="157"/>
        <v>75.1 : 76.72</v>
      </c>
      <c r="BT51" t="str">
        <f t="shared" si="158"/>
        <v>75.07 : 76.93</v>
      </c>
      <c r="BU51" t="str">
        <f t="shared" si="159"/>
        <v>76.17 : 77.72</v>
      </c>
      <c r="BV51" t="str">
        <f t="shared" si="160"/>
        <v>75.7 : 77.5</v>
      </c>
      <c r="BW51" t="str">
        <f t="shared" si="161"/>
        <v>75.24 : 76.9</v>
      </c>
      <c r="BX51" t="str">
        <f t="shared" si="162"/>
        <v>77.66 : 79.05</v>
      </c>
      <c r="BY51" t="str">
        <f t="shared" si="163"/>
        <v>78.24 : 80.01</v>
      </c>
      <c r="BZ51" t="str">
        <f t="shared" si="164"/>
        <v>76.78 : 78.18</v>
      </c>
      <c r="CA51" t="str">
        <f t="shared" si="165"/>
        <v>75.32 : 77.06</v>
      </c>
      <c r="CB51" t="str">
        <f t="shared" si="166"/>
        <v>53.36 : 54.7</v>
      </c>
      <c r="CC51" t="str">
        <f t="shared" si="167"/>
        <v>53.36 : 54.7</v>
      </c>
      <c r="CD51" t="str">
        <f t="shared" si="168"/>
        <v>77 : 77.4</v>
      </c>
      <c r="CE51" t="str">
        <f t="shared" si="169"/>
        <v>60 : 60</v>
      </c>
      <c r="CF51" t="str">
        <f t="shared" si="170"/>
        <v>56 : 58</v>
      </c>
      <c r="CG51" t="str">
        <f t="shared" si="171"/>
        <v>55 : 56</v>
      </c>
      <c r="CH51" t="str">
        <f t="shared" si="172"/>
        <v>55 : 56</v>
      </c>
      <c r="CI51" t="str">
        <f t="shared" si="173"/>
        <v>60 : 60</v>
      </c>
    </row>
    <row r="52" spans="2:87" x14ac:dyDescent="0.2">
      <c r="B52" t="str">
        <f t="shared" si="89"/>
        <v>78.05 : 79.19</v>
      </c>
      <c r="C52" t="str">
        <f t="shared" si="90"/>
        <v>77.96 : 79.02</v>
      </c>
      <c r="D52" t="str">
        <f t="shared" si="91"/>
        <v>76.79 : 78.23</v>
      </c>
      <c r="E52" t="str">
        <f t="shared" si="92"/>
        <v>78.29 : 79.46</v>
      </c>
      <c r="F52" t="str">
        <f t="shared" si="93"/>
        <v>77.26 : 78.74</v>
      </c>
      <c r="G52" t="str">
        <f t="shared" si="94"/>
        <v>77.74 : 78.79</v>
      </c>
      <c r="H52" t="str">
        <f t="shared" si="95"/>
        <v>76.96 : 78.43</v>
      </c>
      <c r="I52" t="str">
        <f t="shared" si="96"/>
        <v>78.21 : 79.65</v>
      </c>
      <c r="J52" t="str">
        <f t="shared" si="97"/>
        <v>78.35 : 79.52</v>
      </c>
      <c r="K52" t="str">
        <f t="shared" si="98"/>
        <v>78.41 : 79.41</v>
      </c>
      <c r="L52" t="str">
        <f t="shared" si="99"/>
        <v>78.02 : 79.37</v>
      </c>
      <c r="M52" t="str">
        <f t="shared" si="100"/>
        <v>79.38 : 80.95</v>
      </c>
      <c r="N52" t="str">
        <f t="shared" si="101"/>
        <v>0 : 0</v>
      </c>
      <c r="O52" t="str">
        <f t="shared" si="102"/>
        <v>0 : 0</v>
      </c>
      <c r="P52" t="str">
        <f t="shared" si="103"/>
        <v>0 : 0</v>
      </c>
      <c r="Q52" t="str">
        <f t="shared" si="104"/>
        <v>0 : 0</v>
      </c>
      <c r="R52" t="str">
        <f t="shared" si="105"/>
        <v>0 : 0</v>
      </c>
      <c r="S52" t="str">
        <f t="shared" si="106"/>
        <v>0 : 0</v>
      </c>
      <c r="T52" t="str">
        <f t="shared" si="107"/>
        <v>0 : 0</v>
      </c>
      <c r="U52" t="str">
        <f t="shared" si="108"/>
        <v>0 : 0</v>
      </c>
      <c r="V52" t="str">
        <f t="shared" si="109"/>
        <v>0 : 0</v>
      </c>
      <c r="W52" t="str">
        <f t="shared" si="110"/>
        <v>0 : 0</v>
      </c>
      <c r="X52" t="str">
        <f t="shared" si="111"/>
        <v>0 : 0</v>
      </c>
      <c r="Y52" t="str">
        <f t="shared" si="112"/>
        <v>0 : 0</v>
      </c>
      <c r="Z52" t="str">
        <f t="shared" si="113"/>
        <v>56 : 57</v>
      </c>
      <c r="AA52">
        <f>AA29</f>
        <v>0.04</v>
      </c>
      <c r="AB52" t="str">
        <f t="shared" si="114"/>
        <v>56 : 57</v>
      </c>
      <c r="AC52" t="str">
        <f t="shared" si="115"/>
        <v>78.05 : 79.19</v>
      </c>
      <c r="AD52" t="str">
        <f t="shared" si="116"/>
        <v>77.23 : 78.01</v>
      </c>
      <c r="AE52" t="str">
        <f t="shared" si="117"/>
        <v>76.52 : 77.41</v>
      </c>
      <c r="AF52" t="str">
        <f t="shared" si="118"/>
        <v>77.57 : 78.66</v>
      </c>
      <c r="AG52" t="str">
        <f t="shared" si="119"/>
        <v>77.83 : 78.85</v>
      </c>
      <c r="AH52" t="str">
        <f t="shared" si="120"/>
        <v>77.68 : 78.76</v>
      </c>
      <c r="AI52" t="str">
        <f t="shared" si="121"/>
        <v>77.2 : 78.24</v>
      </c>
      <c r="AJ52" t="str">
        <f t="shared" si="122"/>
        <v>77.52 : 78.67</v>
      </c>
      <c r="AK52" t="str">
        <f t="shared" si="123"/>
        <v>78.07 : 78.96</v>
      </c>
      <c r="AL52" t="str">
        <f t="shared" si="124"/>
        <v>77.77 : 78.72</v>
      </c>
      <c r="AM52" t="str">
        <f t="shared" si="125"/>
        <v>77.96 : 78.94</v>
      </c>
      <c r="AN52" t="str">
        <f t="shared" si="126"/>
        <v>78.25 : 79.08</v>
      </c>
      <c r="AO52" t="str">
        <f t="shared" si="127"/>
        <v>56 : 57</v>
      </c>
      <c r="AP52" t="str">
        <f t="shared" si="128"/>
        <v>56 : 57</v>
      </c>
      <c r="AQ52" t="str">
        <f t="shared" si="129"/>
        <v>56 : 57</v>
      </c>
      <c r="AR52" t="str">
        <f t="shared" si="130"/>
        <v>77.98 : 79.42</v>
      </c>
      <c r="AS52" t="str">
        <f t="shared" si="131"/>
        <v>76.53 : 78.2</v>
      </c>
      <c r="AT52" t="str">
        <f t="shared" si="132"/>
        <v>76 : 77.79</v>
      </c>
      <c r="AU52" t="str">
        <f t="shared" si="133"/>
        <v>77.4 : 79.28</v>
      </c>
      <c r="AV52" t="str">
        <f t="shared" si="134"/>
        <v>77.93 : 79.8</v>
      </c>
      <c r="AW52" t="str">
        <f t="shared" si="135"/>
        <v>78.14 : 80</v>
      </c>
      <c r="AX52" t="str">
        <f t="shared" si="136"/>
        <v>77.27 : 79.37</v>
      </c>
      <c r="AY52" t="str">
        <f t="shared" si="137"/>
        <v>79.04 : 80.76</v>
      </c>
      <c r="AZ52" t="str">
        <f t="shared" si="138"/>
        <v>78.94 : 80.22</v>
      </c>
      <c r="BA52" t="str">
        <f t="shared" si="139"/>
        <v>78.88 : 80.98</v>
      </c>
      <c r="BB52" t="str">
        <f t="shared" si="140"/>
        <v>78.68 : 80.58</v>
      </c>
      <c r="BC52" t="str">
        <f t="shared" si="141"/>
        <v>77.71 : 79.21</v>
      </c>
      <c r="BD52" t="str">
        <f t="shared" si="142"/>
        <v>77.31 : 78.78</v>
      </c>
      <c r="BE52" t="str">
        <f t="shared" si="143"/>
        <v>77.94 : 79.41</v>
      </c>
      <c r="BF52" t="str">
        <f t="shared" si="144"/>
        <v>79.57 : 81.7</v>
      </c>
      <c r="BG52" t="str">
        <f t="shared" si="145"/>
        <v>79.19 : 80.74</v>
      </c>
      <c r="BH52" t="str">
        <f t="shared" si="146"/>
        <v>78.44 : 80.05</v>
      </c>
      <c r="BI52" t="str">
        <f t="shared" si="147"/>
        <v>78.74 : 80.37</v>
      </c>
      <c r="BJ52" t="str">
        <f t="shared" si="148"/>
        <v>80.29 : 82.25</v>
      </c>
      <c r="BK52" t="str">
        <f t="shared" si="149"/>
        <v>78.19 : 79.76</v>
      </c>
      <c r="BL52" t="str">
        <f t="shared" si="150"/>
        <v>77.41 : 78.67</v>
      </c>
      <c r="BM52" t="str">
        <f t="shared" si="151"/>
        <v>78.28 : 79.52</v>
      </c>
      <c r="BN52" t="str">
        <f t="shared" si="152"/>
        <v>79.01 : 80.71</v>
      </c>
      <c r="BO52" t="str">
        <f t="shared" si="153"/>
        <v>78.76 : 80.5</v>
      </c>
      <c r="BP52" t="str">
        <f t="shared" si="154"/>
        <v>77.69 : 79.21</v>
      </c>
      <c r="BQ52" t="str">
        <f t="shared" si="155"/>
        <v>77.69 : 79.7</v>
      </c>
      <c r="BR52" t="str">
        <f t="shared" si="156"/>
        <v>76.77 : 78.59</v>
      </c>
      <c r="BS52" t="str">
        <f t="shared" si="157"/>
        <v>76.72 : 78.34</v>
      </c>
      <c r="BT52" t="str">
        <f t="shared" si="158"/>
        <v>76.93 : 78.79</v>
      </c>
      <c r="BU52" t="str">
        <f t="shared" si="159"/>
        <v>77.72 : 79.27</v>
      </c>
      <c r="BV52" t="str">
        <f t="shared" si="160"/>
        <v>77.5 : 79.3</v>
      </c>
      <c r="BW52" t="str">
        <f t="shared" si="161"/>
        <v>76.9 : 78.56</v>
      </c>
      <c r="BX52" t="str">
        <f t="shared" si="162"/>
        <v>79.05 : 80.44</v>
      </c>
      <c r="BY52" t="str">
        <f t="shared" si="163"/>
        <v>80.01 : 81.78</v>
      </c>
      <c r="BZ52" t="str">
        <f t="shared" si="164"/>
        <v>78.18 : 79.58</v>
      </c>
      <c r="CA52" t="str">
        <f t="shared" si="165"/>
        <v>77.06 : 78.8</v>
      </c>
      <c r="CB52" t="str">
        <f t="shared" si="166"/>
        <v>54.7 : 56.04</v>
      </c>
      <c r="CC52" t="str">
        <f t="shared" si="167"/>
        <v>54.7 : 56.04</v>
      </c>
      <c r="CD52" t="str">
        <f t="shared" si="168"/>
        <v>77.4 : 77.8</v>
      </c>
      <c r="CE52" t="str">
        <f t="shared" si="169"/>
        <v>60 : 60</v>
      </c>
      <c r="CF52" t="str">
        <f t="shared" si="170"/>
        <v>58 : 60</v>
      </c>
      <c r="CG52" t="str">
        <f t="shared" si="171"/>
        <v>56 : 57</v>
      </c>
      <c r="CH52" t="str">
        <f t="shared" si="172"/>
        <v>56 : 57</v>
      </c>
      <c r="CI52" t="str">
        <f t="shared" si="173"/>
        <v>60 : 60</v>
      </c>
    </row>
    <row r="53" spans="2:87" x14ac:dyDescent="0.2">
      <c r="B53" t="str">
        <f t="shared" si="89"/>
        <v>79.19 : 80.33</v>
      </c>
      <c r="C53" t="str">
        <f t="shared" si="90"/>
        <v>79.02 : 80.08</v>
      </c>
      <c r="D53" t="str">
        <f t="shared" si="91"/>
        <v>78.23 : 79.67</v>
      </c>
      <c r="E53" t="str">
        <f t="shared" si="92"/>
        <v>79.46 : 80.63</v>
      </c>
      <c r="F53" t="str">
        <f t="shared" si="93"/>
        <v>78.74 : 80.22</v>
      </c>
      <c r="G53" t="str">
        <f t="shared" si="94"/>
        <v>78.79 : 79.84</v>
      </c>
      <c r="H53" t="str">
        <f t="shared" si="95"/>
        <v>78.43 : 79.9</v>
      </c>
      <c r="I53" t="str">
        <f t="shared" si="96"/>
        <v>79.65 : 81.09</v>
      </c>
      <c r="J53" t="str">
        <f t="shared" si="97"/>
        <v>79.52 : 80.69</v>
      </c>
      <c r="K53" t="str">
        <f t="shared" si="98"/>
        <v>79.41 : 80.41</v>
      </c>
      <c r="L53" t="str">
        <f t="shared" si="99"/>
        <v>79.37 : 80.72</v>
      </c>
      <c r="M53" t="str">
        <f t="shared" si="100"/>
        <v>80.95 : 82.52</v>
      </c>
      <c r="N53" t="str">
        <f t="shared" si="101"/>
        <v>0 : 0</v>
      </c>
      <c r="O53" t="str">
        <f t="shared" si="102"/>
        <v>0 : 0</v>
      </c>
      <c r="P53" t="str">
        <f t="shared" si="103"/>
        <v>0 : 0</v>
      </c>
      <c r="Q53" t="str">
        <f t="shared" si="104"/>
        <v>0 : 0</v>
      </c>
      <c r="R53" t="str">
        <f t="shared" si="105"/>
        <v>0 : 0</v>
      </c>
      <c r="S53" t="str">
        <f t="shared" si="106"/>
        <v>0 : 0</v>
      </c>
      <c r="T53" t="str">
        <f t="shared" si="107"/>
        <v>0 : 0</v>
      </c>
      <c r="U53" t="str">
        <f t="shared" si="108"/>
        <v>0 : 0</v>
      </c>
      <c r="V53" t="str">
        <f t="shared" si="109"/>
        <v>0 : 0</v>
      </c>
      <c r="W53" t="str">
        <f t="shared" si="110"/>
        <v>0 : 0</v>
      </c>
      <c r="X53" t="str">
        <f t="shared" si="111"/>
        <v>0 : 0</v>
      </c>
      <c r="Y53" t="str">
        <f t="shared" si="112"/>
        <v>0 : 0</v>
      </c>
      <c r="Z53" t="str">
        <f t="shared" si="113"/>
        <v>57 : 58</v>
      </c>
      <c r="AA53">
        <f t="shared" ref="AA53:AA73" si="174">AA52 + AA30</f>
        <v>0.04</v>
      </c>
      <c r="AB53" t="str">
        <f t="shared" si="114"/>
        <v>57 : 58</v>
      </c>
      <c r="AC53" t="str">
        <f t="shared" si="115"/>
        <v>79.19 : 80.33</v>
      </c>
      <c r="AD53" t="str">
        <f t="shared" si="116"/>
        <v>78.01 : 78.79</v>
      </c>
      <c r="AE53" t="str">
        <f t="shared" si="117"/>
        <v>77.41 : 78.3</v>
      </c>
      <c r="AF53" t="str">
        <f t="shared" si="118"/>
        <v>78.66 : 79.75</v>
      </c>
      <c r="AG53" t="str">
        <f t="shared" si="119"/>
        <v>78.85 : 79.87</v>
      </c>
      <c r="AH53" t="str">
        <f t="shared" si="120"/>
        <v>78.76 : 79.84</v>
      </c>
      <c r="AI53" t="str">
        <f t="shared" si="121"/>
        <v>78.24 : 79.28</v>
      </c>
      <c r="AJ53" t="str">
        <f t="shared" si="122"/>
        <v>78.67 : 79.82</v>
      </c>
      <c r="AK53" t="str">
        <f t="shared" si="123"/>
        <v>78.96 : 79.85</v>
      </c>
      <c r="AL53" t="str">
        <f t="shared" si="124"/>
        <v>78.72 : 79.67</v>
      </c>
      <c r="AM53" t="str">
        <f t="shared" si="125"/>
        <v>78.94 : 79.92</v>
      </c>
      <c r="AN53" t="str">
        <f t="shared" si="126"/>
        <v>79.08 : 79.91</v>
      </c>
      <c r="AO53" t="str">
        <f t="shared" si="127"/>
        <v>57 : 58</v>
      </c>
      <c r="AP53" t="str">
        <f t="shared" si="128"/>
        <v>57 : 58</v>
      </c>
      <c r="AQ53" t="str">
        <f t="shared" si="129"/>
        <v>57 : 58</v>
      </c>
      <c r="AR53" t="str">
        <f t="shared" si="130"/>
        <v>79.42 : 80.86</v>
      </c>
      <c r="AS53" t="str">
        <f t="shared" si="131"/>
        <v>78.2 : 79.87</v>
      </c>
      <c r="AT53" t="str">
        <f t="shared" si="132"/>
        <v>77.79 : 79.58</v>
      </c>
      <c r="AU53" t="str">
        <f t="shared" si="133"/>
        <v>79.28 : 81.16</v>
      </c>
      <c r="AV53" t="str">
        <f t="shared" si="134"/>
        <v>79.8 : 81.67</v>
      </c>
      <c r="AW53" t="str">
        <f t="shared" si="135"/>
        <v>80 : 81.86</v>
      </c>
      <c r="AX53" t="str">
        <f t="shared" si="136"/>
        <v>79.37 : 81.47</v>
      </c>
      <c r="AY53" t="str">
        <f t="shared" si="137"/>
        <v>80.76 : 82.48</v>
      </c>
      <c r="AZ53" t="str">
        <f t="shared" si="138"/>
        <v>80.22 : 81.5</v>
      </c>
      <c r="BA53" t="str">
        <f t="shared" si="139"/>
        <v>80.98 : 83.08</v>
      </c>
      <c r="BB53" t="str">
        <f t="shared" si="140"/>
        <v>80.58 : 82.48</v>
      </c>
      <c r="BC53" t="str">
        <f t="shared" si="141"/>
        <v>79.21 : 80.71</v>
      </c>
      <c r="BD53" t="str">
        <f t="shared" si="142"/>
        <v>78.78 : 80.25</v>
      </c>
      <c r="BE53" t="str">
        <f t="shared" si="143"/>
        <v>79.41 : 80.88</v>
      </c>
      <c r="BF53" t="str">
        <f t="shared" si="144"/>
        <v>81.7 : 83.83</v>
      </c>
      <c r="BG53" t="str">
        <f t="shared" si="145"/>
        <v>80.74 : 82.29</v>
      </c>
      <c r="BH53" t="str">
        <f t="shared" si="146"/>
        <v>80.05 : 81.66</v>
      </c>
      <c r="BI53" t="str">
        <f t="shared" si="147"/>
        <v>80.37 : 82</v>
      </c>
      <c r="BJ53" t="str">
        <f t="shared" si="148"/>
        <v>82.25 : 84.21</v>
      </c>
      <c r="BK53" t="str">
        <f t="shared" si="149"/>
        <v>79.76 : 81.33</v>
      </c>
      <c r="BL53" t="str">
        <f t="shared" si="150"/>
        <v>78.67 : 79.93</v>
      </c>
      <c r="BM53" t="str">
        <f t="shared" si="151"/>
        <v>79.52 : 80.76</v>
      </c>
      <c r="BN53" t="str">
        <f t="shared" si="152"/>
        <v>80.71 : 82.41</v>
      </c>
      <c r="BO53" t="str">
        <f t="shared" si="153"/>
        <v>80.5 : 82.24</v>
      </c>
      <c r="BP53" t="str">
        <f t="shared" si="154"/>
        <v>79.21 : 80.73</v>
      </c>
      <c r="BQ53" t="str">
        <f t="shared" si="155"/>
        <v>79.7 : 81.71</v>
      </c>
      <c r="BR53" t="str">
        <f t="shared" si="156"/>
        <v>78.59 : 80.41</v>
      </c>
      <c r="BS53" t="str">
        <f t="shared" si="157"/>
        <v>78.34 : 79.96</v>
      </c>
      <c r="BT53" t="str">
        <f t="shared" si="158"/>
        <v>78.79 : 80.65</v>
      </c>
      <c r="BU53" t="str">
        <f t="shared" si="159"/>
        <v>79.27 : 80.82</v>
      </c>
      <c r="BV53" t="str">
        <f t="shared" si="160"/>
        <v>79.3 : 81.1</v>
      </c>
      <c r="BW53" t="str">
        <f t="shared" si="161"/>
        <v>78.56 : 80.22</v>
      </c>
      <c r="BX53" t="str">
        <f t="shared" si="162"/>
        <v>80.44 : 81.83</v>
      </c>
      <c r="BY53" t="str">
        <f t="shared" si="163"/>
        <v>81.78 : 83.55</v>
      </c>
      <c r="BZ53" t="str">
        <f t="shared" si="164"/>
        <v>79.58 : 80.98</v>
      </c>
      <c r="CA53" t="str">
        <f t="shared" si="165"/>
        <v>78.8 : 80.54</v>
      </c>
      <c r="CB53" t="str">
        <f t="shared" si="166"/>
        <v>56.04 : 57.38</v>
      </c>
      <c r="CC53" t="str">
        <f t="shared" si="167"/>
        <v>56.04 : 57.38</v>
      </c>
      <c r="CD53" t="str">
        <f t="shared" si="168"/>
        <v>77.8 : 78.2</v>
      </c>
      <c r="CE53" t="str">
        <f t="shared" si="169"/>
        <v>60 : 60</v>
      </c>
      <c r="CF53" t="str">
        <f t="shared" si="170"/>
        <v>60 : 62</v>
      </c>
      <c r="CG53" t="str">
        <f t="shared" si="171"/>
        <v>57 : 58</v>
      </c>
      <c r="CH53" t="str">
        <f t="shared" si="172"/>
        <v>57 : 58</v>
      </c>
      <c r="CI53" t="str">
        <f t="shared" si="173"/>
        <v>60 : 60</v>
      </c>
    </row>
    <row r="54" spans="2:87" x14ac:dyDescent="0.2">
      <c r="B54" t="str">
        <f t="shared" si="89"/>
        <v>80.33 : 81.47</v>
      </c>
      <c r="C54" t="str">
        <f t="shared" si="90"/>
        <v>80.08 : 81.14</v>
      </c>
      <c r="D54" t="str">
        <f t="shared" si="91"/>
        <v>79.67 : 81.11</v>
      </c>
      <c r="E54" t="str">
        <f t="shared" si="92"/>
        <v>80.63 : 81.8</v>
      </c>
      <c r="F54" t="str">
        <f t="shared" si="93"/>
        <v>80.22 : 81.7</v>
      </c>
      <c r="G54" t="str">
        <f t="shared" si="94"/>
        <v>79.84 : 80.89</v>
      </c>
      <c r="H54" t="str">
        <f t="shared" si="95"/>
        <v>79.9 : 81.37</v>
      </c>
      <c r="I54" t="str">
        <f t="shared" si="96"/>
        <v>81.09 : 82.53</v>
      </c>
      <c r="J54" t="str">
        <f t="shared" si="97"/>
        <v>80.69 : 81.86</v>
      </c>
      <c r="K54" t="str">
        <f t="shared" si="98"/>
        <v>80.41 : 81.41</v>
      </c>
      <c r="L54" t="str">
        <f t="shared" si="99"/>
        <v>80.72 : 82.07</v>
      </c>
      <c r="M54" t="str">
        <f t="shared" si="100"/>
        <v>82.52 : 84.09</v>
      </c>
      <c r="N54" t="str">
        <f t="shared" si="101"/>
        <v>0 : 0</v>
      </c>
      <c r="O54" t="str">
        <f t="shared" si="102"/>
        <v>0 : 0</v>
      </c>
      <c r="P54" t="str">
        <f t="shared" si="103"/>
        <v>0 : 0</v>
      </c>
      <c r="Q54" t="str">
        <f t="shared" si="104"/>
        <v>0 : 0</v>
      </c>
      <c r="R54" t="str">
        <f t="shared" si="105"/>
        <v>0 : 0</v>
      </c>
      <c r="S54" t="str">
        <f t="shared" si="106"/>
        <v>0 : 0</v>
      </c>
      <c r="T54" t="str">
        <f t="shared" si="107"/>
        <v>0 : 0</v>
      </c>
      <c r="U54" t="str">
        <f t="shared" si="108"/>
        <v>0 : 0</v>
      </c>
      <c r="V54" t="str">
        <f t="shared" si="109"/>
        <v>0 : 0</v>
      </c>
      <c r="W54" t="str">
        <f t="shared" si="110"/>
        <v>0 : 0</v>
      </c>
      <c r="X54" t="str">
        <f t="shared" si="111"/>
        <v>0 : 0</v>
      </c>
      <c r="Y54" t="str">
        <f t="shared" si="112"/>
        <v>0 : 0</v>
      </c>
      <c r="Z54" t="str">
        <f t="shared" si="113"/>
        <v>58 : 59</v>
      </c>
      <c r="AA54">
        <f t="shared" si="174"/>
        <v>0.04</v>
      </c>
      <c r="AB54" t="str">
        <f t="shared" si="114"/>
        <v>58 : 59</v>
      </c>
      <c r="AC54" t="str">
        <f t="shared" si="115"/>
        <v>80.33 : 81.47</v>
      </c>
      <c r="AD54" t="str">
        <f t="shared" si="116"/>
        <v>78.79 : 79.57</v>
      </c>
      <c r="AE54" t="str">
        <f t="shared" si="117"/>
        <v>78.3 : 79.19</v>
      </c>
      <c r="AF54" t="str">
        <f t="shared" si="118"/>
        <v>79.75 : 80.84</v>
      </c>
      <c r="AG54" t="str">
        <f t="shared" si="119"/>
        <v>79.87 : 80.89</v>
      </c>
      <c r="AH54" t="str">
        <f t="shared" si="120"/>
        <v>79.84 : 80.92</v>
      </c>
      <c r="AI54" t="str">
        <f t="shared" si="121"/>
        <v>79.28 : 80.32</v>
      </c>
      <c r="AJ54" t="str">
        <f t="shared" si="122"/>
        <v>79.82 : 80.97</v>
      </c>
      <c r="AK54" t="str">
        <f t="shared" si="123"/>
        <v>79.85 : 80.74</v>
      </c>
      <c r="AL54" t="str">
        <f t="shared" si="124"/>
        <v>79.67 : 80.62</v>
      </c>
      <c r="AM54" t="str">
        <f t="shared" si="125"/>
        <v>79.92 : 80.9</v>
      </c>
      <c r="AN54" t="str">
        <f t="shared" si="126"/>
        <v>79.91 : 80.74</v>
      </c>
      <c r="AO54" t="str">
        <f t="shared" si="127"/>
        <v>58 : 59</v>
      </c>
      <c r="AP54" t="str">
        <f t="shared" si="128"/>
        <v>58 : 59</v>
      </c>
      <c r="AQ54" t="str">
        <f t="shared" si="129"/>
        <v>58 : 59</v>
      </c>
      <c r="AR54" t="str">
        <f t="shared" si="130"/>
        <v>80.86 : 82.3</v>
      </c>
      <c r="AS54" t="str">
        <f t="shared" si="131"/>
        <v>79.87 : 81.54</v>
      </c>
      <c r="AT54" t="str">
        <f t="shared" si="132"/>
        <v>79.58 : 81.37</v>
      </c>
      <c r="AU54" t="str">
        <f t="shared" si="133"/>
        <v>81.16 : 83.04</v>
      </c>
      <c r="AV54" t="str">
        <f t="shared" si="134"/>
        <v>81.67 : 83.54</v>
      </c>
      <c r="AW54" t="str">
        <f t="shared" si="135"/>
        <v>81.86 : 83.72</v>
      </c>
      <c r="AX54" t="str">
        <f t="shared" si="136"/>
        <v>81.47 : 83.57</v>
      </c>
      <c r="AY54" t="str">
        <f t="shared" si="137"/>
        <v>82.48 : 84.2</v>
      </c>
      <c r="AZ54" t="str">
        <f t="shared" si="138"/>
        <v>81.5 : 82.78</v>
      </c>
      <c r="BA54" t="str">
        <f t="shared" si="139"/>
        <v>83.08 : 85.18</v>
      </c>
      <c r="BB54" t="str">
        <f t="shared" si="140"/>
        <v>82.48 : 84.38</v>
      </c>
      <c r="BC54" t="str">
        <f t="shared" si="141"/>
        <v>80.71 : 82.21</v>
      </c>
      <c r="BD54" t="str">
        <f t="shared" si="142"/>
        <v>80.25 : 81.72</v>
      </c>
      <c r="BE54" t="str">
        <f t="shared" si="143"/>
        <v>80.88 : 82.35</v>
      </c>
      <c r="BF54" t="str">
        <f t="shared" si="144"/>
        <v>83.83 : 85.96</v>
      </c>
      <c r="BG54" t="str">
        <f t="shared" si="145"/>
        <v>82.29 : 83.84</v>
      </c>
      <c r="BH54" t="str">
        <f t="shared" si="146"/>
        <v>81.66 : 83.27</v>
      </c>
      <c r="BI54" t="str">
        <f t="shared" si="147"/>
        <v>82 : 83.63</v>
      </c>
      <c r="BJ54" t="str">
        <f t="shared" si="148"/>
        <v>84.21 : 86.17</v>
      </c>
      <c r="BK54" t="str">
        <f t="shared" si="149"/>
        <v>81.33 : 82.9</v>
      </c>
      <c r="BL54" t="str">
        <f t="shared" si="150"/>
        <v>79.93 : 81.19</v>
      </c>
      <c r="BM54" t="str">
        <f t="shared" si="151"/>
        <v>80.76 : 82</v>
      </c>
      <c r="BN54" t="str">
        <f t="shared" si="152"/>
        <v>82.41 : 84.11</v>
      </c>
      <c r="BO54" t="str">
        <f t="shared" si="153"/>
        <v>82.24 : 83.98</v>
      </c>
      <c r="BP54" t="str">
        <f t="shared" si="154"/>
        <v>80.73 : 82.25</v>
      </c>
      <c r="BQ54" t="str">
        <f t="shared" si="155"/>
        <v>81.71 : 83.72</v>
      </c>
      <c r="BR54" t="str">
        <f t="shared" si="156"/>
        <v>80.41 : 82.23</v>
      </c>
      <c r="BS54" t="str">
        <f t="shared" si="157"/>
        <v>79.96 : 81.58</v>
      </c>
      <c r="BT54" t="str">
        <f t="shared" si="158"/>
        <v>80.65 : 82.51</v>
      </c>
      <c r="BU54" t="str">
        <f t="shared" si="159"/>
        <v>80.82 : 82.37</v>
      </c>
      <c r="BV54" t="str">
        <f t="shared" si="160"/>
        <v>81.1 : 82.9</v>
      </c>
      <c r="BW54" t="str">
        <f t="shared" si="161"/>
        <v>80.22 : 81.88</v>
      </c>
      <c r="BX54" t="str">
        <f t="shared" si="162"/>
        <v>81.83 : 83.22</v>
      </c>
      <c r="BY54" t="str">
        <f t="shared" si="163"/>
        <v>83.55 : 85.32</v>
      </c>
      <c r="BZ54" t="str">
        <f t="shared" si="164"/>
        <v>80.98 : 82.38</v>
      </c>
      <c r="CA54" t="str">
        <f t="shared" si="165"/>
        <v>80.54 : 82.28</v>
      </c>
      <c r="CB54" t="str">
        <f t="shared" si="166"/>
        <v>57.38 : 58.72</v>
      </c>
      <c r="CC54" t="str">
        <f t="shared" si="167"/>
        <v>57.38 : 58.72</v>
      </c>
      <c r="CD54" t="str">
        <f t="shared" si="168"/>
        <v>78.2 : 78.6</v>
      </c>
      <c r="CE54" t="str">
        <f t="shared" si="169"/>
        <v>60 : 60</v>
      </c>
      <c r="CF54" t="str">
        <f t="shared" si="170"/>
        <v>62 : 64</v>
      </c>
      <c r="CG54" t="str">
        <f t="shared" si="171"/>
        <v>58 : 59</v>
      </c>
      <c r="CH54" t="str">
        <f t="shared" si="172"/>
        <v>58 : 59</v>
      </c>
      <c r="CI54" t="str">
        <f t="shared" si="173"/>
        <v>60 : 60</v>
      </c>
    </row>
    <row r="55" spans="2:87" x14ac:dyDescent="0.2">
      <c r="B55" t="str">
        <f t="shared" si="89"/>
        <v>81.47 : 82.61</v>
      </c>
      <c r="C55" t="str">
        <f t="shared" si="90"/>
        <v>81.14 : 82.2</v>
      </c>
      <c r="D55" t="str">
        <f t="shared" si="91"/>
        <v>81.11 : 82.55</v>
      </c>
      <c r="E55" t="str">
        <f t="shared" si="92"/>
        <v>81.8 : 82.97</v>
      </c>
      <c r="F55" t="str">
        <f t="shared" si="93"/>
        <v>81.7 : 83.18</v>
      </c>
      <c r="G55" t="str">
        <f t="shared" si="94"/>
        <v>80.89 : 81.94</v>
      </c>
      <c r="H55" t="str">
        <f t="shared" si="95"/>
        <v>81.37 : 82.84</v>
      </c>
      <c r="I55" t="str">
        <f t="shared" si="96"/>
        <v>82.53 : 83.97</v>
      </c>
      <c r="J55" t="str">
        <f t="shared" si="97"/>
        <v>81.86 : 83.03</v>
      </c>
      <c r="K55" t="str">
        <f t="shared" si="98"/>
        <v>81.41 : 82.41</v>
      </c>
      <c r="L55" t="str">
        <f t="shared" si="99"/>
        <v>82.07 : 83.42</v>
      </c>
      <c r="M55" t="str">
        <f t="shared" si="100"/>
        <v>84.09 : 85.66</v>
      </c>
      <c r="N55" t="str">
        <f t="shared" si="101"/>
        <v>0 : 0</v>
      </c>
      <c r="O55" t="str">
        <f t="shared" si="102"/>
        <v>0 : 0</v>
      </c>
      <c r="P55" t="str">
        <f t="shared" si="103"/>
        <v>0 : 0</v>
      </c>
      <c r="Q55" t="str">
        <f t="shared" si="104"/>
        <v>0 : 0</v>
      </c>
      <c r="R55" t="str">
        <f t="shared" si="105"/>
        <v>0 : 0</v>
      </c>
      <c r="S55" t="str">
        <f t="shared" si="106"/>
        <v>0 : 0</v>
      </c>
      <c r="T55" t="str">
        <f t="shared" si="107"/>
        <v>0 : 0</v>
      </c>
      <c r="U55" t="str">
        <f t="shared" si="108"/>
        <v>0 : 0</v>
      </c>
      <c r="V55" t="str">
        <f t="shared" si="109"/>
        <v>0 : 0</v>
      </c>
      <c r="W55" t="str">
        <f t="shared" si="110"/>
        <v>0 : 0</v>
      </c>
      <c r="X55" t="str">
        <f t="shared" si="111"/>
        <v>0 : 0</v>
      </c>
      <c r="Y55" t="str">
        <f t="shared" si="112"/>
        <v>0 : 0</v>
      </c>
      <c r="Z55" t="str">
        <f t="shared" si="113"/>
        <v>59 : 60</v>
      </c>
      <c r="AA55">
        <f t="shared" si="174"/>
        <v>0.04</v>
      </c>
      <c r="AB55" t="str">
        <f t="shared" si="114"/>
        <v>59 : 60</v>
      </c>
      <c r="AC55" t="str">
        <f t="shared" si="115"/>
        <v>81.47 : 82.61</v>
      </c>
      <c r="AD55" t="str">
        <f t="shared" si="116"/>
        <v>79.57 : 80.35</v>
      </c>
      <c r="AE55" t="str">
        <f t="shared" si="117"/>
        <v>79.19 : 80.08</v>
      </c>
      <c r="AF55" t="str">
        <f t="shared" si="118"/>
        <v>80.84 : 81.93</v>
      </c>
      <c r="AG55" t="str">
        <f t="shared" si="119"/>
        <v>80.89 : 81.91</v>
      </c>
      <c r="AH55" t="str">
        <f t="shared" si="120"/>
        <v>80.92 : 82</v>
      </c>
      <c r="AI55" t="str">
        <f t="shared" si="121"/>
        <v>80.32 : 81.36</v>
      </c>
      <c r="AJ55" t="str">
        <f t="shared" si="122"/>
        <v>80.97 : 82.12</v>
      </c>
      <c r="AK55" t="str">
        <f t="shared" si="123"/>
        <v>80.74 : 81.63</v>
      </c>
      <c r="AL55" t="str">
        <f t="shared" si="124"/>
        <v>80.62 : 81.57</v>
      </c>
      <c r="AM55" t="str">
        <f t="shared" si="125"/>
        <v>80.9 : 81.88</v>
      </c>
      <c r="AN55" t="str">
        <f t="shared" si="126"/>
        <v>80.74 : 81.57</v>
      </c>
      <c r="AO55" t="str">
        <f t="shared" si="127"/>
        <v>59 : 60</v>
      </c>
      <c r="AP55" t="str">
        <f t="shared" si="128"/>
        <v>59 : 60</v>
      </c>
      <c r="AQ55" t="str">
        <f t="shared" si="129"/>
        <v>59 : 60</v>
      </c>
      <c r="AR55" t="str">
        <f t="shared" si="130"/>
        <v>82.3 : 83.74</v>
      </c>
      <c r="AS55" t="str">
        <f t="shared" si="131"/>
        <v>81.54 : 83.21</v>
      </c>
      <c r="AT55" t="str">
        <f t="shared" si="132"/>
        <v>81.37 : 83.16</v>
      </c>
      <c r="AU55" t="str">
        <f t="shared" si="133"/>
        <v>83.04 : 84.92</v>
      </c>
      <c r="AV55" t="str">
        <f t="shared" si="134"/>
        <v>83.54 : 85.41</v>
      </c>
      <c r="AW55" t="str">
        <f t="shared" si="135"/>
        <v>83.72 : 85.58</v>
      </c>
      <c r="AX55" t="str">
        <f t="shared" si="136"/>
        <v>83.57 : 85.67</v>
      </c>
      <c r="AY55" t="str">
        <f t="shared" si="137"/>
        <v>84.2 : 85.92</v>
      </c>
      <c r="AZ55" t="str">
        <f t="shared" si="138"/>
        <v>82.78 : 84.06</v>
      </c>
      <c r="BA55" t="str">
        <f t="shared" si="139"/>
        <v>85.18 : 87.28</v>
      </c>
      <c r="BB55" t="str">
        <f t="shared" si="140"/>
        <v>84.38 : 86.28</v>
      </c>
      <c r="BC55" t="str">
        <f t="shared" si="141"/>
        <v>82.21 : 83.71</v>
      </c>
      <c r="BD55" t="str">
        <f t="shared" si="142"/>
        <v>81.72 : 83.19</v>
      </c>
      <c r="BE55" t="str">
        <f t="shared" si="143"/>
        <v>82.35 : 83.82</v>
      </c>
      <c r="BF55" t="str">
        <f t="shared" si="144"/>
        <v>85.96 : 88.09</v>
      </c>
      <c r="BG55" t="str">
        <f t="shared" si="145"/>
        <v>83.84 : 85.39</v>
      </c>
      <c r="BH55" t="str">
        <f t="shared" si="146"/>
        <v>83.27 : 84.88</v>
      </c>
      <c r="BI55" t="str">
        <f t="shared" si="147"/>
        <v>83.63 : 85.26</v>
      </c>
      <c r="BJ55" t="str">
        <f t="shared" si="148"/>
        <v>86.17 : 88.13</v>
      </c>
      <c r="BK55" t="str">
        <f t="shared" si="149"/>
        <v>82.9 : 84.47</v>
      </c>
      <c r="BL55" t="str">
        <f t="shared" si="150"/>
        <v>81.19 : 82.45</v>
      </c>
      <c r="BM55" t="str">
        <f t="shared" si="151"/>
        <v>82 : 83.24</v>
      </c>
      <c r="BN55" t="str">
        <f t="shared" si="152"/>
        <v>84.11 : 85.81</v>
      </c>
      <c r="BO55" t="str">
        <f t="shared" si="153"/>
        <v>83.98 : 85.72</v>
      </c>
      <c r="BP55" t="str">
        <f t="shared" si="154"/>
        <v>82.25 : 83.77</v>
      </c>
      <c r="BQ55" t="str">
        <f t="shared" si="155"/>
        <v>83.72 : 85.73</v>
      </c>
      <c r="BR55" t="str">
        <f t="shared" si="156"/>
        <v>82.23 : 84.05</v>
      </c>
      <c r="BS55" t="str">
        <f t="shared" si="157"/>
        <v>81.58 : 83.2</v>
      </c>
      <c r="BT55" t="str">
        <f t="shared" si="158"/>
        <v>82.51 : 84.37</v>
      </c>
      <c r="BU55" t="str">
        <f t="shared" si="159"/>
        <v>82.37 : 83.92</v>
      </c>
      <c r="BV55" t="str">
        <f t="shared" si="160"/>
        <v>82.9 : 84.7</v>
      </c>
      <c r="BW55" t="str">
        <f t="shared" si="161"/>
        <v>81.88 : 83.54</v>
      </c>
      <c r="BX55" t="str">
        <f t="shared" si="162"/>
        <v>83.22 : 84.61</v>
      </c>
      <c r="BY55" t="str">
        <f t="shared" si="163"/>
        <v>85.32 : 87.09</v>
      </c>
      <c r="BZ55" t="str">
        <f t="shared" si="164"/>
        <v>82.38 : 83.78</v>
      </c>
      <c r="CA55" t="str">
        <f t="shared" si="165"/>
        <v>82.28 : 84.02</v>
      </c>
      <c r="CB55" t="str">
        <f t="shared" si="166"/>
        <v>58.72 : 60.06</v>
      </c>
      <c r="CC55" t="str">
        <f t="shared" si="167"/>
        <v>58.72 : 60.06</v>
      </c>
      <c r="CD55" t="str">
        <f t="shared" si="168"/>
        <v>78.6 : 79</v>
      </c>
      <c r="CE55" t="str">
        <f t="shared" si="169"/>
        <v>60 : 60</v>
      </c>
      <c r="CF55" t="str">
        <f t="shared" si="170"/>
        <v>64 : 66</v>
      </c>
      <c r="CG55" t="str">
        <f t="shared" si="171"/>
        <v>59 : 60</v>
      </c>
      <c r="CH55" t="str">
        <f t="shared" si="172"/>
        <v>59 : 60</v>
      </c>
      <c r="CI55" t="str">
        <f t="shared" si="173"/>
        <v>60 : 60</v>
      </c>
    </row>
    <row r="56" spans="2:87" x14ac:dyDescent="0.2">
      <c r="B56" t="str">
        <f t="shared" si="89"/>
        <v>82.61 : 83.75</v>
      </c>
      <c r="C56" t="str">
        <f t="shared" si="90"/>
        <v>82.2 : 83.26</v>
      </c>
      <c r="D56" t="str">
        <f t="shared" si="91"/>
        <v>82.55 : 83.99</v>
      </c>
      <c r="E56" t="str">
        <f t="shared" si="92"/>
        <v>82.97 : 84.14</v>
      </c>
      <c r="F56" t="str">
        <f t="shared" si="93"/>
        <v>83.18 : 84.66</v>
      </c>
      <c r="G56" t="str">
        <f t="shared" si="94"/>
        <v>81.94 : 82.99</v>
      </c>
      <c r="H56" t="str">
        <f t="shared" si="95"/>
        <v>82.84 : 84.31</v>
      </c>
      <c r="I56" t="str">
        <f t="shared" si="96"/>
        <v>83.97 : 85.41</v>
      </c>
      <c r="J56" t="str">
        <f t="shared" si="97"/>
        <v>83.03 : 84.2</v>
      </c>
      <c r="K56" t="str">
        <f t="shared" si="98"/>
        <v>82.41 : 83.41</v>
      </c>
      <c r="L56" t="str">
        <f t="shared" si="99"/>
        <v>83.42 : 84.77</v>
      </c>
      <c r="M56" t="str">
        <f t="shared" si="100"/>
        <v>85.66 : 87.23</v>
      </c>
      <c r="N56" t="str">
        <f t="shared" si="101"/>
        <v>0 : 0</v>
      </c>
      <c r="O56" t="str">
        <f t="shared" si="102"/>
        <v>0 : 0</v>
      </c>
      <c r="P56" t="str">
        <f t="shared" si="103"/>
        <v>0 : 0</v>
      </c>
      <c r="Q56" t="str">
        <f t="shared" si="104"/>
        <v>0 : 0</v>
      </c>
      <c r="R56" t="str">
        <f t="shared" si="105"/>
        <v>0 : 0</v>
      </c>
      <c r="S56" t="str">
        <f t="shared" si="106"/>
        <v>0 : 0</v>
      </c>
      <c r="T56" t="str">
        <f t="shared" si="107"/>
        <v>0 : 0</v>
      </c>
      <c r="U56" t="str">
        <f t="shared" si="108"/>
        <v>0 : 0</v>
      </c>
      <c r="V56" t="str">
        <f t="shared" si="109"/>
        <v>0 : 0</v>
      </c>
      <c r="W56" t="str">
        <f t="shared" si="110"/>
        <v>0 : 0</v>
      </c>
      <c r="X56" t="str">
        <f t="shared" si="111"/>
        <v>0 : 0</v>
      </c>
      <c r="Y56" t="str">
        <f t="shared" si="112"/>
        <v>0 : 0</v>
      </c>
      <c r="Z56" t="str">
        <f t="shared" si="113"/>
        <v>60 : 61</v>
      </c>
      <c r="AA56">
        <f t="shared" si="174"/>
        <v>0.04</v>
      </c>
      <c r="AB56" t="str">
        <f t="shared" si="114"/>
        <v>60 : 61</v>
      </c>
      <c r="AC56" t="str">
        <f t="shared" si="115"/>
        <v>82.61 : 83.75</v>
      </c>
      <c r="AD56" t="str">
        <f t="shared" si="116"/>
        <v>80.35 : 81.13</v>
      </c>
      <c r="AE56" t="str">
        <f t="shared" si="117"/>
        <v>80.08 : 80.97</v>
      </c>
      <c r="AF56" t="str">
        <f t="shared" si="118"/>
        <v>81.93 : 83.02</v>
      </c>
      <c r="AG56" t="str">
        <f t="shared" si="119"/>
        <v>81.91 : 82.93</v>
      </c>
      <c r="AH56" t="str">
        <f t="shared" si="120"/>
        <v>82 : 83.08</v>
      </c>
      <c r="AI56" t="str">
        <f t="shared" si="121"/>
        <v>81.36 : 82.4</v>
      </c>
      <c r="AJ56" t="str">
        <f t="shared" si="122"/>
        <v>82.12 : 83.27</v>
      </c>
      <c r="AK56" t="str">
        <f t="shared" si="123"/>
        <v>81.63 : 82.52</v>
      </c>
      <c r="AL56" t="str">
        <f t="shared" si="124"/>
        <v>81.57 : 82.52</v>
      </c>
      <c r="AM56" t="str">
        <f t="shared" si="125"/>
        <v>81.88 : 82.86</v>
      </c>
      <c r="AN56" t="str">
        <f t="shared" si="126"/>
        <v>81.57 : 82.4</v>
      </c>
      <c r="AO56" t="str">
        <f t="shared" si="127"/>
        <v>60 : 61</v>
      </c>
      <c r="AP56" t="str">
        <f t="shared" si="128"/>
        <v>60 : 61</v>
      </c>
      <c r="AQ56" t="str">
        <f t="shared" si="129"/>
        <v>60 : 61</v>
      </c>
      <c r="AR56" t="str">
        <f t="shared" si="130"/>
        <v>83.74 : 85.18</v>
      </c>
      <c r="AS56" t="str">
        <f t="shared" si="131"/>
        <v>83.21 : 84.88</v>
      </c>
      <c r="AT56" t="str">
        <f t="shared" si="132"/>
        <v>83.16 : 84.95</v>
      </c>
      <c r="AU56" t="str">
        <f t="shared" si="133"/>
        <v>84.92 : 86.8</v>
      </c>
      <c r="AV56" t="str">
        <f t="shared" si="134"/>
        <v>85.41 : 87.28</v>
      </c>
      <c r="AW56" t="str">
        <f t="shared" si="135"/>
        <v>85.58 : 87.44</v>
      </c>
      <c r="AX56" t="str">
        <f t="shared" si="136"/>
        <v>85.67 : 87.77</v>
      </c>
      <c r="AY56" t="str">
        <f t="shared" si="137"/>
        <v>85.92 : 87.64</v>
      </c>
      <c r="AZ56" t="str">
        <f t="shared" si="138"/>
        <v>84.06 : 85.34</v>
      </c>
      <c r="BA56" t="str">
        <f t="shared" si="139"/>
        <v>87.28 : 89.38</v>
      </c>
      <c r="BB56" t="str">
        <f t="shared" si="140"/>
        <v>86.28 : 88.18</v>
      </c>
      <c r="BC56" t="str">
        <f t="shared" si="141"/>
        <v>83.71 : 85.21</v>
      </c>
      <c r="BD56" t="str">
        <f t="shared" si="142"/>
        <v>83.19 : 84.66</v>
      </c>
      <c r="BE56" t="str">
        <f t="shared" si="143"/>
        <v>83.82 : 85.29</v>
      </c>
      <c r="BF56" t="str">
        <f t="shared" si="144"/>
        <v>88.09 : 90.22</v>
      </c>
      <c r="BG56" t="str">
        <f t="shared" si="145"/>
        <v>85.39 : 86.94</v>
      </c>
      <c r="BH56" t="str">
        <f t="shared" si="146"/>
        <v>84.88 : 86.49</v>
      </c>
      <c r="BI56" t="str">
        <f t="shared" si="147"/>
        <v>85.26 : 86.89</v>
      </c>
      <c r="BJ56" t="str">
        <f t="shared" si="148"/>
        <v>88.13 : 90.09</v>
      </c>
      <c r="BK56" t="str">
        <f t="shared" si="149"/>
        <v>84.47 : 86.04</v>
      </c>
      <c r="BL56" t="str">
        <f t="shared" si="150"/>
        <v>82.45 : 83.71</v>
      </c>
      <c r="BM56" t="str">
        <f t="shared" si="151"/>
        <v>83.24 : 84.48</v>
      </c>
      <c r="BN56" t="str">
        <f t="shared" si="152"/>
        <v>85.81 : 87.51</v>
      </c>
      <c r="BO56" t="str">
        <f t="shared" si="153"/>
        <v>85.72 : 87.46</v>
      </c>
      <c r="BP56" t="str">
        <f t="shared" si="154"/>
        <v>83.77 : 85.29</v>
      </c>
      <c r="BQ56" t="str">
        <f t="shared" si="155"/>
        <v>85.73 : 87.74</v>
      </c>
      <c r="BR56" t="str">
        <f t="shared" si="156"/>
        <v>84.05 : 85.87</v>
      </c>
      <c r="BS56" t="str">
        <f t="shared" si="157"/>
        <v>83.2 : 84.82</v>
      </c>
      <c r="BT56" t="str">
        <f t="shared" si="158"/>
        <v>84.37 : 86.23</v>
      </c>
      <c r="BU56" t="str">
        <f t="shared" si="159"/>
        <v>83.92 : 85.47</v>
      </c>
      <c r="BV56" t="str">
        <f t="shared" si="160"/>
        <v>84.7 : 86.5</v>
      </c>
      <c r="BW56" t="str">
        <f t="shared" si="161"/>
        <v>83.54 : 85.2</v>
      </c>
      <c r="BX56" t="str">
        <f t="shared" si="162"/>
        <v>84.61 : 86</v>
      </c>
      <c r="BY56" t="str">
        <f t="shared" si="163"/>
        <v>87.09 : 88.86</v>
      </c>
      <c r="BZ56" t="str">
        <f t="shared" si="164"/>
        <v>83.78 : 85.18</v>
      </c>
      <c r="CA56" t="str">
        <f t="shared" si="165"/>
        <v>84.02 : 85.76</v>
      </c>
      <c r="CB56" t="str">
        <f t="shared" si="166"/>
        <v>60.06 : 61.4</v>
      </c>
      <c r="CC56" t="str">
        <f t="shared" si="167"/>
        <v>60.06 : 61.4</v>
      </c>
      <c r="CD56" t="str">
        <f t="shared" si="168"/>
        <v>79 : 79.4</v>
      </c>
      <c r="CE56" t="str">
        <f t="shared" si="169"/>
        <v>60 : 60</v>
      </c>
      <c r="CF56" t="str">
        <f t="shared" si="170"/>
        <v>66 : 68</v>
      </c>
      <c r="CG56" t="str">
        <f t="shared" si="171"/>
        <v>60 : 61</v>
      </c>
      <c r="CH56" t="str">
        <f t="shared" si="172"/>
        <v>60 : 61</v>
      </c>
      <c r="CI56" t="str">
        <f t="shared" si="173"/>
        <v>60 : 60</v>
      </c>
    </row>
    <row r="57" spans="2:87" x14ac:dyDescent="0.2">
      <c r="AA57">
        <f t="shared" si="174"/>
        <v>0.31</v>
      </c>
    </row>
    <row r="58" spans="2:87" x14ac:dyDescent="0.2">
      <c r="AA58">
        <f t="shared" si="174"/>
        <v>0.31</v>
      </c>
    </row>
    <row r="59" spans="2:87" x14ac:dyDescent="0.2">
      <c r="AA59">
        <f t="shared" si="174"/>
        <v>0.31</v>
      </c>
    </row>
    <row r="60" spans="2:87" x14ac:dyDescent="0.2">
      <c r="AA60">
        <f t="shared" si="174"/>
        <v>0.31</v>
      </c>
    </row>
    <row r="61" spans="2:87" x14ac:dyDescent="0.2">
      <c r="AA61">
        <f t="shared" si="174"/>
        <v>0.31</v>
      </c>
    </row>
    <row r="62" spans="2:87" x14ac:dyDescent="0.2">
      <c r="AA62">
        <f t="shared" si="174"/>
        <v>1</v>
      </c>
    </row>
    <row r="63" spans="2:87" x14ac:dyDescent="0.2">
      <c r="AA63">
        <f t="shared" si="174"/>
        <v>1</v>
      </c>
    </row>
    <row r="64" spans="2:87" x14ac:dyDescent="0.2">
      <c r="AA64" t="e">
        <f t="shared" si="174"/>
        <v>#N/A</v>
      </c>
    </row>
    <row r="65" spans="27:27" x14ac:dyDescent="0.2">
      <c r="AA65" t="e">
        <f t="shared" si="174"/>
        <v>#N/A</v>
      </c>
    </row>
    <row r="66" spans="27:27" x14ac:dyDescent="0.2">
      <c r="AA66" t="e">
        <f t="shared" si="174"/>
        <v>#N/A</v>
      </c>
    </row>
    <row r="67" spans="27:27" x14ac:dyDescent="0.2">
      <c r="AA67" t="e">
        <f t="shared" si="174"/>
        <v>#N/A</v>
      </c>
    </row>
    <row r="68" spans="27:27" x14ac:dyDescent="0.2">
      <c r="AA68" t="e">
        <f t="shared" si="174"/>
        <v>#N/A</v>
      </c>
    </row>
    <row r="69" spans="27:27" x14ac:dyDescent="0.2">
      <c r="AA69" t="e">
        <f t="shared" si="174"/>
        <v>#N/A</v>
      </c>
    </row>
    <row r="70" spans="27:27" x14ac:dyDescent="0.2">
      <c r="AA70" t="e">
        <f t="shared" si="174"/>
        <v>#N/A</v>
      </c>
    </row>
    <row r="71" spans="27:27" x14ac:dyDescent="0.2">
      <c r="AA71" t="e">
        <f t="shared" si="174"/>
        <v>#N/A</v>
      </c>
    </row>
    <row r="72" spans="27:27" x14ac:dyDescent="0.2">
      <c r="AA72" t="e">
        <f t="shared" si="174"/>
        <v>#N/A</v>
      </c>
    </row>
    <row r="73" spans="27:27" x14ac:dyDescent="0.2">
      <c r="AA73" t="e">
        <f t="shared" si="174"/>
        <v>#N/A</v>
      </c>
    </row>
    <row r="75" spans="27:27" x14ac:dyDescent="0.2">
      <c r="AA75" t="str">
        <f t="shared" ref="AA75:AA96" si="175">AA6 &amp; " : " &amp; AA7</f>
        <v>49.5 : 50</v>
      </c>
    </row>
    <row r="76" spans="27:27" x14ac:dyDescent="0.2">
      <c r="AA76" t="str">
        <f t="shared" si="175"/>
        <v>50 : 50.5</v>
      </c>
    </row>
    <row r="77" spans="27:27" x14ac:dyDescent="0.2">
      <c r="AA77" t="str">
        <f t="shared" si="175"/>
        <v>50.5 : 51</v>
      </c>
    </row>
    <row r="78" spans="27:27" x14ac:dyDescent="0.2">
      <c r="AA78" t="str">
        <f t="shared" si="175"/>
        <v>51 : 51.5</v>
      </c>
    </row>
    <row r="79" spans="27:27" x14ac:dyDescent="0.2">
      <c r="AA79" t="str">
        <f t="shared" si="175"/>
        <v>51.5 : 52</v>
      </c>
    </row>
    <row r="80" spans="27:27" x14ac:dyDescent="0.2">
      <c r="AA80" t="str">
        <f t="shared" si="175"/>
        <v>52 : 52.5</v>
      </c>
    </row>
    <row r="81" spans="27:27" x14ac:dyDescent="0.2">
      <c r="AA81" t="str">
        <f t="shared" si="175"/>
        <v>52.5 : 53</v>
      </c>
    </row>
    <row r="82" spans="27:27" x14ac:dyDescent="0.2">
      <c r="AA82" t="str">
        <f t="shared" si="175"/>
        <v>53 : 53.5</v>
      </c>
    </row>
    <row r="83" spans="27:27" x14ac:dyDescent="0.2">
      <c r="AA83" t="str">
        <f t="shared" si="175"/>
        <v>53.5 : 54</v>
      </c>
    </row>
    <row r="84" spans="27:27" x14ac:dyDescent="0.2">
      <c r="AA84" t="str">
        <f t="shared" si="175"/>
        <v>54 : 54.5</v>
      </c>
    </row>
    <row r="85" spans="27:27" x14ac:dyDescent="0.2">
      <c r="AA85" t="str">
        <f t="shared" si="175"/>
        <v>54.5 : 55</v>
      </c>
    </row>
    <row r="86" spans="27:27" x14ac:dyDescent="0.2">
      <c r="AA86" t="str">
        <f t="shared" si="175"/>
        <v>55 : 55.5</v>
      </c>
    </row>
    <row r="87" spans="27:27" x14ac:dyDescent="0.2">
      <c r="AA87" t="str">
        <f t="shared" si="175"/>
        <v>55.5 : 56</v>
      </c>
    </row>
    <row r="88" spans="27:27" x14ac:dyDescent="0.2">
      <c r="AA88" t="str">
        <f t="shared" si="175"/>
        <v>56 : 56.5</v>
      </c>
    </row>
    <row r="89" spans="27:27" x14ac:dyDescent="0.2">
      <c r="AA89" t="str">
        <f t="shared" si="175"/>
        <v>56.5 : 57</v>
      </c>
    </row>
    <row r="90" spans="27:27" x14ac:dyDescent="0.2">
      <c r="AA90" t="str">
        <f t="shared" si="175"/>
        <v>57 : 57.5</v>
      </c>
    </row>
    <row r="91" spans="27:27" x14ac:dyDescent="0.2">
      <c r="AA91" t="str">
        <f t="shared" si="175"/>
        <v>57.5 : 58</v>
      </c>
    </row>
    <row r="92" spans="27:27" x14ac:dyDescent="0.2">
      <c r="AA92" t="str">
        <f t="shared" si="175"/>
        <v>58 : 58.5</v>
      </c>
    </row>
    <row r="93" spans="27:27" x14ac:dyDescent="0.2">
      <c r="AA93" t="str">
        <f t="shared" si="175"/>
        <v>58.5 : 59</v>
      </c>
    </row>
    <row r="94" spans="27:27" x14ac:dyDescent="0.2">
      <c r="AA94" t="str">
        <f t="shared" si="175"/>
        <v>59 : 59.5</v>
      </c>
    </row>
    <row r="95" spans="27:27" x14ac:dyDescent="0.2">
      <c r="AA95" t="str">
        <f t="shared" si="175"/>
        <v>59.5 : 60</v>
      </c>
    </row>
    <row r="96" spans="27:27" x14ac:dyDescent="0.2">
      <c r="AA96" t="str">
        <f t="shared" si="175"/>
        <v>60 : 60.5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zoomScale="200" zoomScaleNormal="200" workbookViewId="0">
      <selection activeCell="D3" sqref="D3"/>
    </sheetView>
  </sheetViews>
  <sheetFormatPr defaultRowHeight="12.75" x14ac:dyDescent="0.2"/>
  <cols>
    <col min="2" max="2" width="18.42578125" customWidth="1"/>
    <col min="3" max="3" width="12.85546875" customWidth="1"/>
  </cols>
  <sheetData>
    <row r="2" spans="2:5" x14ac:dyDescent="0.2">
      <c r="B2" s="3" t="s">
        <v>203</v>
      </c>
    </row>
    <row r="5" spans="2:5" x14ac:dyDescent="0.2">
      <c r="B5" s="3" t="s">
        <v>198</v>
      </c>
    </row>
    <row r="6" spans="2:5" x14ac:dyDescent="0.2">
      <c r="B6" s="3" t="s">
        <v>191</v>
      </c>
    </row>
    <row r="7" spans="2:5" x14ac:dyDescent="0.2">
      <c r="D7" s="3" t="s">
        <v>201</v>
      </c>
    </row>
    <row r="8" spans="2:5" x14ac:dyDescent="0.2">
      <c r="B8" s="3" t="s">
        <v>192</v>
      </c>
      <c r="C8" s="3" t="s">
        <v>193</v>
      </c>
      <c r="D8">
        <v>120</v>
      </c>
      <c r="E8" s="3" t="s">
        <v>199</v>
      </c>
    </row>
    <row r="9" spans="2:5" x14ac:dyDescent="0.2">
      <c r="B9" s="3" t="s">
        <v>194</v>
      </c>
      <c r="C9" s="3" t="s">
        <v>195</v>
      </c>
      <c r="D9">
        <v>35</v>
      </c>
      <c r="E9" s="3" t="s">
        <v>199</v>
      </c>
    </row>
    <row r="10" spans="2:5" x14ac:dyDescent="0.2">
      <c r="B10" s="3" t="s">
        <v>196</v>
      </c>
      <c r="C10" s="3" t="s">
        <v>197</v>
      </c>
      <c r="D10">
        <f>D8+D9</f>
        <v>155</v>
      </c>
      <c r="E10" s="3" t="s">
        <v>199</v>
      </c>
    </row>
    <row r="11" spans="2:5" x14ac:dyDescent="0.2">
      <c r="B11" s="57" t="s">
        <v>190</v>
      </c>
      <c r="C11" s="57"/>
      <c r="D11" s="43">
        <f>D8/D10</f>
        <v>0.77419354838709675</v>
      </c>
    </row>
    <row r="13" spans="2:5" ht="76.5" x14ac:dyDescent="0.2">
      <c r="B13" s="44" t="s">
        <v>200</v>
      </c>
      <c r="C13" s="45"/>
      <c r="D13" s="45"/>
    </row>
  </sheetData>
  <mergeCells count="1">
    <mergeCell ref="B11:C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395</vt:i4>
      </vt:variant>
    </vt:vector>
  </HeadingPairs>
  <TitlesOfParts>
    <vt:vector size="401" baseType="lpstr">
      <vt:lpstr>Library</vt:lpstr>
      <vt:lpstr>Front End</vt:lpstr>
      <vt:lpstr>PM_Trials</vt:lpstr>
      <vt:lpstr>PMTable</vt:lpstr>
      <vt:lpstr>SIPmath Chart Data</vt:lpstr>
      <vt:lpstr>Sheet1</vt:lpstr>
      <vt:lpstr>AWF_Q_1</vt:lpstr>
      <vt:lpstr>AWF_Q_1_bins</vt:lpstr>
      <vt:lpstr>AWF_Q_1_cume</vt:lpstr>
      <vt:lpstr>AWF_Q_1_freq</vt:lpstr>
      <vt:lpstr>AWF_Q_1_lbls</vt:lpstr>
      <vt:lpstr>AWF_Q_10</vt:lpstr>
      <vt:lpstr>AWF_Q_10_bins</vt:lpstr>
      <vt:lpstr>AWF_Q_10_cume</vt:lpstr>
      <vt:lpstr>AWF_Q_10_freq</vt:lpstr>
      <vt:lpstr>AWF_Q_10_lbls</vt:lpstr>
      <vt:lpstr>AWF_Q_11</vt:lpstr>
      <vt:lpstr>AWF_Q_11_bins</vt:lpstr>
      <vt:lpstr>AWF_Q_11_cume</vt:lpstr>
      <vt:lpstr>AWF_Q_11_freq</vt:lpstr>
      <vt:lpstr>AWF_Q_11_lbls</vt:lpstr>
      <vt:lpstr>AWF_Q_12</vt:lpstr>
      <vt:lpstr>AWF_Q_12_bins</vt:lpstr>
      <vt:lpstr>AWF_Q_12_cume</vt:lpstr>
      <vt:lpstr>AWF_Q_12_freq</vt:lpstr>
      <vt:lpstr>AWF_Q_12_lbls</vt:lpstr>
      <vt:lpstr>AWF_Q_2</vt:lpstr>
      <vt:lpstr>AWF_Q_2_bins</vt:lpstr>
      <vt:lpstr>AWF_Q_2_cume</vt:lpstr>
      <vt:lpstr>AWF_Q_2_freq</vt:lpstr>
      <vt:lpstr>AWF_Q_2_lbls</vt:lpstr>
      <vt:lpstr>AWF_Q_3</vt:lpstr>
      <vt:lpstr>AWF_Q_3_bins</vt:lpstr>
      <vt:lpstr>AWF_Q_3_cume</vt:lpstr>
      <vt:lpstr>AWF_Q_3_freq</vt:lpstr>
      <vt:lpstr>AWF_Q_3_lbls</vt:lpstr>
      <vt:lpstr>AWF_Q_4</vt:lpstr>
      <vt:lpstr>AWF_Q_4_bins</vt:lpstr>
      <vt:lpstr>AWF_Q_4_cume</vt:lpstr>
      <vt:lpstr>AWF_Q_4_freq</vt:lpstr>
      <vt:lpstr>AWF_Q_4_lbls</vt:lpstr>
      <vt:lpstr>AWF_Q_5</vt:lpstr>
      <vt:lpstr>AWF_Q_5_bins</vt:lpstr>
      <vt:lpstr>AWF_Q_5_cume</vt:lpstr>
      <vt:lpstr>AWF_Q_5_freq</vt:lpstr>
      <vt:lpstr>AWF_Q_5_lbls</vt:lpstr>
      <vt:lpstr>AWF_Q_6</vt:lpstr>
      <vt:lpstr>AWF_Q_6_bins</vt:lpstr>
      <vt:lpstr>AWF_Q_6_cume</vt:lpstr>
      <vt:lpstr>AWF_Q_6_freq</vt:lpstr>
      <vt:lpstr>AWF_Q_6_lbls</vt:lpstr>
      <vt:lpstr>AWF_Q_7</vt:lpstr>
      <vt:lpstr>AWF_Q_7_bins</vt:lpstr>
      <vt:lpstr>AWF_Q_7_cume</vt:lpstr>
      <vt:lpstr>AWF_Q_7_freq</vt:lpstr>
      <vt:lpstr>AWF_Q_7_lbls</vt:lpstr>
      <vt:lpstr>AWF_Q_8</vt:lpstr>
      <vt:lpstr>AWF_Q_8_bins</vt:lpstr>
      <vt:lpstr>AWF_Q_8_cume</vt:lpstr>
      <vt:lpstr>AWF_Q_8_freq</vt:lpstr>
      <vt:lpstr>AWF_Q_8_lbls</vt:lpstr>
      <vt:lpstr>AWF_Q_9</vt:lpstr>
      <vt:lpstr>AWF_Q_9_bins</vt:lpstr>
      <vt:lpstr>AWF_Q_9_cume</vt:lpstr>
      <vt:lpstr>AWF_Q_9_freq</vt:lpstr>
      <vt:lpstr>AWF_Q_9_lbls</vt:lpstr>
      <vt:lpstr>M_1</vt:lpstr>
      <vt:lpstr>M_1_bins</vt:lpstr>
      <vt:lpstr>M_1_cume</vt:lpstr>
      <vt:lpstr>M_1_freq</vt:lpstr>
      <vt:lpstr>M_1_lbls</vt:lpstr>
      <vt:lpstr>M_10</vt:lpstr>
      <vt:lpstr>M_10_bins</vt:lpstr>
      <vt:lpstr>M_10_cume</vt:lpstr>
      <vt:lpstr>M_10_freq</vt:lpstr>
      <vt:lpstr>M_10_lbls</vt:lpstr>
      <vt:lpstr>M_11</vt:lpstr>
      <vt:lpstr>M_11_bins</vt:lpstr>
      <vt:lpstr>M_11_cume</vt:lpstr>
      <vt:lpstr>M_11_freq</vt:lpstr>
      <vt:lpstr>M_11_lbls</vt:lpstr>
      <vt:lpstr>M_12</vt:lpstr>
      <vt:lpstr>M_12_bins</vt:lpstr>
      <vt:lpstr>M_12_cume</vt:lpstr>
      <vt:lpstr>M_12_freq</vt:lpstr>
      <vt:lpstr>M_12_lbls</vt:lpstr>
      <vt:lpstr>M_13</vt:lpstr>
      <vt:lpstr>M_13_bins</vt:lpstr>
      <vt:lpstr>M_13_cume</vt:lpstr>
      <vt:lpstr>M_13_freq</vt:lpstr>
      <vt:lpstr>M_13_lbls</vt:lpstr>
      <vt:lpstr>M_14</vt:lpstr>
      <vt:lpstr>M_14_bins</vt:lpstr>
      <vt:lpstr>M_14_cume</vt:lpstr>
      <vt:lpstr>M_14_freq</vt:lpstr>
      <vt:lpstr>M_14_lbls</vt:lpstr>
      <vt:lpstr>M_15</vt:lpstr>
      <vt:lpstr>M_15_bins</vt:lpstr>
      <vt:lpstr>M_15_cume</vt:lpstr>
      <vt:lpstr>M_15_freq</vt:lpstr>
      <vt:lpstr>M_15_lbls</vt:lpstr>
      <vt:lpstr>M_16</vt:lpstr>
      <vt:lpstr>M_16_bins</vt:lpstr>
      <vt:lpstr>M_16_cume</vt:lpstr>
      <vt:lpstr>M_16_freq</vt:lpstr>
      <vt:lpstr>M_16_lbls</vt:lpstr>
      <vt:lpstr>M_17</vt:lpstr>
      <vt:lpstr>M_17_bins</vt:lpstr>
      <vt:lpstr>M_17_cume</vt:lpstr>
      <vt:lpstr>M_17_freq</vt:lpstr>
      <vt:lpstr>M_17_lbls</vt:lpstr>
      <vt:lpstr>M_18</vt:lpstr>
      <vt:lpstr>M_18_bins</vt:lpstr>
      <vt:lpstr>M_18_cume</vt:lpstr>
      <vt:lpstr>M_18_freq</vt:lpstr>
      <vt:lpstr>M_18_lbls</vt:lpstr>
      <vt:lpstr>M_19</vt:lpstr>
      <vt:lpstr>M_19_bins</vt:lpstr>
      <vt:lpstr>M_19_cume</vt:lpstr>
      <vt:lpstr>M_19_freq</vt:lpstr>
      <vt:lpstr>M_19_lbls</vt:lpstr>
      <vt:lpstr>M_2</vt:lpstr>
      <vt:lpstr>M_2_bins</vt:lpstr>
      <vt:lpstr>M_2_cume</vt:lpstr>
      <vt:lpstr>M_2_freq</vt:lpstr>
      <vt:lpstr>M_2_lbls</vt:lpstr>
      <vt:lpstr>M_20</vt:lpstr>
      <vt:lpstr>M_20_bins</vt:lpstr>
      <vt:lpstr>M_20_cume</vt:lpstr>
      <vt:lpstr>M_20_freq</vt:lpstr>
      <vt:lpstr>M_20_lbls</vt:lpstr>
      <vt:lpstr>M_21</vt:lpstr>
      <vt:lpstr>M_21_bins</vt:lpstr>
      <vt:lpstr>M_21_cume</vt:lpstr>
      <vt:lpstr>M_21_freq</vt:lpstr>
      <vt:lpstr>M_21_lbls</vt:lpstr>
      <vt:lpstr>M_22</vt:lpstr>
      <vt:lpstr>M_22_bins</vt:lpstr>
      <vt:lpstr>M_22_cume</vt:lpstr>
      <vt:lpstr>M_22_freq</vt:lpstr>
      <vt:lpstr>M_22_lbls</vt:lpstr>
      <vt:lpstr>M_23</vt:lpstr>
      <vt:lpstr>M_23_bins</vt:lpstr>
      <vt:lpstr>M_23_cume</vt:lpstr>
      <vt:lpstr>M_23_freq</vt:lpstr>
      <vt:lpstr>M_23_lbls</vt:lpstr>
      <vt:lpstr>M_24</vt:lpstr>
      <vt:lpstr>M_24_bins</vt:lpstr>
      <vt:lpstr>M_24_cume</vt:lpstr>
      <vt:lpstr>M_24_freq</vt:lpstr>
      <vt:lpstr>M_24_lbls</vt:lpstr>
      <vt:lpstr>M_25</vt:lpstr>
      <vt:lpstr>M_25_bins</vt:lpstr>
      <vt:lpstr>M_25_cume</vt:lpstr>
      <vt:lpstr>M_25_freq</vt:lpstr>
      <vt:lpstr>M_25_lbls</vt:lpstr>
      <vt:lpstr>M_26</vt:lpstr>
      <vt:lpstr>M_26_bins</vt:lpstr>
      <vt:lpstr>M_26_cume</vt:lpstr>
      <vt:lpstr>M_26_freq</vt:lpstr>
      <vt:lpstr>M_26_lbls</vt:lpstr>
      <vt:lpstr>M_27</vt:lpstr>
      <vt:lpstr>M_27_bins</vt:lpstr>
      <vt:lpstr>M_27_cume</vt:lpstr>
      <vt:lpstr>M_27_freq</vt:lpstr>
      <vt:lpstr>M_27_lbls</vt:lpstr>
      <vt:lpstr>M_28</vt:lpstr>
      <vt:lpstr>M_28_bins</vt:lpstr>
      <vt:lpstr>M_28_cume</vt:lpstr>
      <vt:lpstr>M_28_freq</vt:lpstr>
      <vt:lpstr>M_28_lbls</vt:lpstr>
      <vt:lpstr>M_29</vt:lpstr>
      <vt:lpstr>M_29_bins</vt:lpstr>
      <vt:lpstr>M_29_cume</vt:lpstr>
      <vt:lpstr>M_29_freq</vt:lpstr>
      <vt:lpstr>M_29_lbls</vt:lpstr>
      <vt:lpstr>M_3</vt:lpstr>
      <vt:lpstr>M_3_bins</vt:lpstr>
      <vt:lpstr>M_3_cume</vt:lpstr>
      <vt:lpstr>M_3_freq</vt:lpstr>
      <vt:lpstr>M_3_lbls</vt:lpstr>
      <vt:lpstr>M_30</vt:lpstr>
      <vt:lpstr>M_30_bins</vt:lpstr>
      <vt:lpstr>M_30_cume</vt:lpstr>
      <vt:lpstr>M_30_freq</vt:lpstr>
      <vt:lpstr>M_30_lbls</vt:lpstr>
      <vt:lpstr>M_31</vt:lpstr>
      <vt:lpstr>M_31_bins</vt:lpstr>
      <vt:lpstr>M_31_cume</vt:lpstr>
      <vt:lpstr>M_31_freq</vt:lpstr>
      <vt:lpstr>M_31_lbls</vt:lpstr>
      <vt:lpstr>M_32</vt:lpstr>
      <vt:lpstr>M_32_bins</vt:lpstr>
      <vt:lpstr>M_32_cume</vt:lpstr>
      <vt:lpstr>M_32_freq</vt:lpstr>
      <vt:lpstr>M_32_lbls</vt:lpstr>
      <vt:lpstr>M_33</vt:lpstr>
      <vt:lpstr>M_33_bins</vt:lpstr>
      <vt:lpstr>M_33_cume</vt:lpstr>
      <vt:lpstr>M_33_freq</vt:lpstr>
      <vt:lpstr>M_33_lbls</vt:lpstr>
      <vt:lpstr>M_34</vt:lpstr>
      <vt:lpstr>M_34_bins</vt:lpstr>
      <vt:lpstr>M_34_cume</vt:lpstr>
      <vt:lpstr>M_34_freq</vt:lpstr>
      <vt:lpstr>M_34_lbls</vt:lpstr>
      <vt:lpstr>M_35</vt:lpstr>
      <vt:lpstr>M_35_bins</vt:lpstr>
      <vt:lpstr>M_35_cume</vt:lpstr>
      <vt:lpstr>M_35_freq</vt:lpstr>
      <vt:lpstr>M_35_lbls</vt:lpstr>
      <vt:lpstr>M_36</vt:lpstr>
      <vt:lpstr>M_36_bins</vt:lpstr>
      <vt:lpstr>M_36_cume</vt:lpstr>
      <vt:lpstr>M_36_freq</vt:lpstr>
      <vt:lpstr>M_36_lbls</vt:lpstr>
      <vt:lpstr>M_4</vt:lpstr>
      <vt:lpstr>M_4_bins</vt:lpstr>
      <vt:lpstr>M_4_cume</vt:lpstr>
      <vt:lpstr>M_4_freq</vt:lpstr>
      <vt:lpstr>M_4_lbls</vt:lpstr>
      <vt:lpstr>M_5</vt:lpstr>
      <vt:lpstr>M_5_bins</vt:lpstr>
      <vt:lpstr>M_5_cume</vt:lpstr>
      <vt:lpstr>M_5_freq</vt:lpstr>
      <vt:lpstr>M_5_lbls</vt:lpstr>
      <vt:lpstr>M_6</vt:lpstr>
      <vt:lpstr>M_6_bins</vt:lpstr>
      <vt:lpstr>M_6_cume</vt:lpstr>
      <vt:lpstr>M_6_freq</vt:lpstr>
      <vt:lpstr>M_6_lbls</vt:lpstr>
      <vt:lpstr>M_7</vt:lpstr>
      <vt:lpstr>M_7_bins</vt:lpstr>
      <vt:lpstr>M_7_cume</vt:lpstr>
      <vt:lpstr>M_7_freq</vt:lpstr>
      <vt:lpstr>M_7_lbls</vt:lpstr>
      <vt:lpstr>M_8</vt:lpstr>
      <vt:lpstr>M_8_bins</vt:lpstr>
      <vt:lpstr>M_8_cume</vt:lpstr>
      <vt:lpstr>M_8_freq</vt:lpstr>
      <vt:lpstr>M_8_lbls</vt:lpstr>
      <vt:lpstr>M_9</vt:lpstr>
      <vt:lpstr>M_9_bins</vt:lpstr>
      <vt:lpstr>M_9_cume</vt:lpstr>
      <vt:lpstr>M_9_freq</vt:lpstr>
      <vt:lpstr>M_9_lbls</vt:lpstr>
      <vt:lpstr>Monthly_Max</vt:lpstr>
      <vt:lpstr>Monthly_Min</vt:lpstr>
      <vt:lpstr>PM_Index</vt:lpstr>
      <vt:lpstr>PM_Trials</vt:lpstr>
      <vt:lpstr>Q_1</vt:lpstr>
      <vt:lpstr>Q_1_bins</vt:lpstr>
      <vt:lpstr>Q_1_cume</vt:lpstr>
      <vt:lpstr>Q_1_freq</vt:lpstr>
      <vt:lpstr>Q_1_lbls</vt:lpstr>
      <vt:lpstr>Q_10</vt:lpstr>
      <vt:lpstr>Q_10_bins</vt:lpstr>
      <vt:lpstr>Q_10_cume</vt:lpstr>
      <vt:lpstr>Q_10_freq</vt:lpstr>
      <vt:lpstr>Q_10_lbls</vt:lpstr>
      <vt:lpstr>Q_11</vt:lpstr>
      <vt:lpstr>Q_11_bins</vt:lpstr>
      <vt:lpstr>Q_11_cume</vt:lpstr>
      <vt:lpstr>Q_11_freq</vt:lpstr>
      <vt:lpstr>Q_11_lbls</vt:lpstr>
      <vt:lpstr>Q_12</vt:lpstr>
      <vt:lpstr>Q_12_bins</vt:lpstr>
      <vt:lpstr>Q_12_cume</vt:lpstr>
      <vt:lpstr>Q_12_freq</vt:lpstr>
      <vt:lpstr>Q_12_lbls</vt:lpstr>
      <vt:lpstr>Q_2</vt:lpstr>
      <vt:lpstr>Q_2_bins</vt:lpstr>
      <vt:lpstr>Q_2_cume</vt:lpstr>
      <vt:lpstr>Q_2_freq</vt:lpstr>
      <vt:lpstr>Q_2_lbls</vt:lpstr>
      <vt:lpstr>Q_3</vt:lpstr>
      <vt:lpstr>Q_3_bins</vt:lpstr>
      <vt:lpstr>Q_3_cume</vt:lpstr>
      <vt:lpstr>Q_3_freq</vt:lpstr>
      <vt:lpstr>Q_3_lbls</vt:lpstr>
      <vt:lpstr>Q_4</vt:lpstr>
      <vt:lpstr>Q_4_bins</vt:lpstr>
      <vt:lpstr>Q_4_cume</vt:lpstr>
      <vt:lpstr>Q_4_freq</vt:lpstr>
      <vt:lpstr>Q_4_lbls</vt:lpstr>
      <vt:lpstr>Q_5</vt:lpstr>
      <vt:lpstr>Q_5_bins</vt:lpstr>
      <vt:lpstr>Q_5_cume</vt:lpstr>
      <vt:lpstr>Q_5_freq</vt:lpstr>
      <vt:lpstr>Q_5_lbls</vt:lpstr>
      <vt:lpstr>Q_6</vt:lpstr>
      <vt:lpstr>Q_6_bins</vt:lpstr>
      <vt:lpstr>Q_6_cume</vt:lpstr>
      <vt:lpstr>Q_6_freq</vt:lpstr>
      <vt:lpstr>Q_6_lbls</vt:lpstr>
      <vt:lpstr>Q_7</vt:lpstr>
      <vt:lpstr>Q_7_bins</vt:lpstr>
      <vt:lpstr>Q_7_cume</vt:lpstr>
      <vt:lpstr>Q_7_freq</vt:lpstr>
      <vt:lpstr>Q_7_lbls</vt:lpstr>
      <vt:lpstr>Q_8</vt:lpstr>
      <vt:lpstr>Q_8_bins</vt:lpstr>
      <vt:lpstr>Q_8_cume</vt:lpstr>
      <vt:lpstr>Q_8_freq</vt:lpstr>
      <vt:lpstr>Q_8_lbls</vt:lpstr>
      <vt:lpstr>Q_9</vt:lpstr>
      <vt:lpstr>Q_9_bins</vt:lpstr>
      <vt:lpstr>Q_9_cume</vt:lpstr>
      <vt:lpstr>Q_9_freq</vt:lpstr>
      <vt:lpstr>Q_9_lbls</vt:lpstr>
      <vt:lpstr>Qtrly_Max</vt:lpstr>
      <vt:lpstr>Qtrly_Min</vt:lpstr>
      <vt:lpstr>RQ_1</vt:lpstr>
      <vt:lpstr>RQ_1_bins</vt:lpstr>
      <vt:lpstr>RQ_1_cume</vt:lpstr>
      <vt:lpstr>RQ_1_freq</vt:lpstr>
      <vt:lpstr>RQ_1_lbls</vt:lpstr>
      <vt:lpstr>RQ_10</vt:lpstr>
      <vt:lpstr>RQ_10_bins</vt:lpstr>
      <vt:lpstr>RQ_10_cume</vt:lpstr>
      <vt:lpstr>RQ_10_freq</vt:lpstr>
      <vt:lpstr>RQ_10_lbls</vt:lpstr>
      <vt:lpstr>RQ_11</vt:lpstr>
      <vt:lpstr>RQ_11_bins</vt:lpstr>
      <vt:lpstr>RQ_11_cume</vt:lpstr>
      <vt:lpstr>RQ_11_freq</vt:lpstr>
      <vt:lpstr>RQ_11_lbls</vt:lpstr>
      <vt:lpstr>RQ_12</vt:lpstr>
      <vt:lpstr>RQ_12_bins</vt:lpstr>
      <vt:lpstr>RQ_12_cume</vt:lpstr>
      <vt:lpstr>RQ_12_freq</vt:lpstr>
      <vt:lpstr>RQ_12_lbls</vt:lpstr>
      <vt:lpstr>RQ_2</vt:lpstr>
      <vt:lpstr>RQ_2_bins</vt:lpstr>
      <vt:lpstr>RQ_2_cume</vt:lpstr>
      <vt:lpstr>RQ_2_freq</vt:lpstr>
      <vt:lpstr>RQ_2_lbls</vt:lpstr>
      <vt:lpstr>RQ_3</vt:lpstr>
      <vt:lpstr>RQ_3_bins</vt:lpstr>
      <vt:lpstr>RQ_3_cume</vt:lpstr>
      <vt:lpstr>RQ_3_freq</vt:lpstr>
      <vt:lpstr>RQ_3_lbls</vt:lpstr>
      <vt:lpstr>RQ_4</vt:lpstr>
      <vt:lpstr>RQ_4_bins</vt:lpstr>
      <vt:lpstr>RQ_4_cume</vt:lpstr>
      <vt:lpstr>RQ_4_freq</vt:lpstr>
      <vt:lpstr>RQ_4_lbls</vt:lpstr>
      <vt:lpstr>RQ_5</vt:lpstr>
      <vt:lpstr>RQ_5_bins</vt:lpstr>
      <vt:lpstr>RQ_5_cume</vt:lpstr>
      <vt:lpstr>RQ_5_freq</vt:lpstr>
      <vt:lpstr>RQ_5_lbls</vt:lpstr>
      <vt:lpstr>RQ_6</vt:lpstr>
      <vt:lpstr>RQ_6_bins</vt:lpstr>
      <vt:lpstr>RQ_6_cume</vt:lpstr>
      <vt:lpstr>RQ_6_freq</vt:lpstr>
      <vt:lpstr>RQ_6_lbls</vt:lpstr>
      <vt:lpstr>RQ_7</vt:lpstr>
      <vt:lpstr>RQ_7_bins</vt:lpstr>
      <vt:lpstr>RQ_7_cume</vt:lpstr>
      <vt:lpstr>RQ_7_freq</vt:lpstr>
      <vt:lpstr>RQ_7_lbls</vt:lpstr>
      <vt:lpstr>RQ_8</vt:lpstr>
      <vt:lpstr>RQ_8_bins</vt:lpstr>
      <vt:lpstr>RQ_8_cume</vt:lpstr>
      <vt:lpstr>RQ_8_freq</vt:lpstr>
      <vt:lpstr>RQ_8_lbls</vt:lpstr>
      <vt:lpstr>RQ_9</vt:lpstr>
      <vt:lpstr>RQ_9_bins</vt:lpstr>
      <vt:lpstr>RQ_9_cume</vt:lpstr>
      <vt:lpstr>RQ_9_freq</vt:lpstr>
      <vt:lpstr>RQ_9_lbls</vt:lpstr>
      <vt:lpstr>Rqtrly_Max</vt:lpstr>
      <vt:lpstr>Rqtrly_Min</vt:lpstr>
      <vt:lpstr>Three_Year_Average</vt:lpstr>
      <vt:lpstr>Three_Year_Average_bins</vt:lpstr>
      <vt:lpstr>Three_Year_Average_cume</vt:lpstr>
      <vt:lpstr>Three_Year_Average_freq</vt:lpstr>
      <vt:lpstr>Three_Year_Average_lbls</vt:lpstr>
      <vt:lpstr>Total_Monthly_Award_Fee</vt:lpstr>
      <vt:lpstr>Total_Monthly_Award_Fee_bins</vt:lpstr>
      <vt:lpstr>Total_Monthly_Award_Fee_cume</vt:lpstr>
      <vt:lpstr>Total_Monthly_Award_Fee_freq</vt:lpstr>
      <vt:lpstr>Total_Monthly_Award_Fee_lbls</vt:lpstr>
      <vt:lpstr>Total_Quartery_Award_Fee</vt:lpstr>
      <vt:lpstr>Total_Quartery_Award_Fee_bins</vt:lpstr>
      <vt:lpstr>Total_Quartery_Award_Fee_cume</vt:lpstr>
      <vt:lpstr>Total_Quartery_Award_Fee_freq</vt:lpstr>
      <vt:lpstr>Total_Quartery_Award_Fee_lbls</vt:lpstr>
      <vt:lpstr>Total_Roling_Qtrly_Awrd_Fee</vt:lpstr>
      <vt:lpstr>Total_Roling_Qtrly_Awrd_Fee_bins</vt:lpstr>
      <vt:lpstr>Total_Roling_Qtrly_Awrd_Fee_cume</vt:lpstr>
      <vt:lpstr>Total_Roling_Qtrly_Awrd_Fee_freq</vt:lpstr>
      <vt:lpstr>Total_Roling_Qtrly_Awrd_Fee_lbls</vt:lpstr>
      <vt:lpstr>TY_Max</vt:lpstr>
      <vt:lpstr>TY_Min</vt:lpstr>
      <vt:lpstr>TYA_AF</vt:lpstr>
      <vt:lpstr>TYA_AF_bins</vt:lpstr>
      <vt:lpstr>TYA_AF_cume</vt:lpstr>
      <vt:lpstr>TYA_AF_freq</vt:lpstr>
      <vt:lpstr>TYA_AF_lbls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fahringp</dc:creator>
  <cp:lastModifiedBy>Fahringer, Philip</cp:lastModifiedBy>
  <dcterms:created xsi:type="dcterms:W3CDTF">2015-02-11T01:01:59Z</dcterms:created>
  <dcterms:modified xsi:type="dcterms:W3CDTF">2015-02-20T03:36:49Z</dcterms:modified>
</cp:coreProperties>
</file>